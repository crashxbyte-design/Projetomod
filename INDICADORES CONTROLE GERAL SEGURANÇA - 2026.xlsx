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Robson\"/>
    </mc:Choice>
  </mc:AlternateContent>
  <xr:revisionPtr revIDLastSave="0" documentId="13_ncr:1_{9525D259-448E-4673-9097-DDD149FA089D}" xr6:coauthVersionLast="47" xr6:coauthVersionMax="47" xr10:uidLastSave="{00000000-0000-0000-0000-000000000000}"/>
  <bookViews>
    <workbookView xWindow="-120" yWindow="-120" windowWidth="29040" windowHeight="15840" tabRatio="844" activeTab="10" xr2:uid="{00000000-000D-0000-FFFF-FFFF00000000}"/>
  </bookViews>
  <sheets>
    <sheet name="INTERCORRENCIAS SEG" sheetId="5" r:id="rId1"/>
    <sheet name="EVASÃO" sheetId="1" r:id="rId2"/>
    <sheet name="VISITAS" sheetId="2" r:id="rId3"/>
    <sheet name="FAB FAF " sheetId="3" r:id="rId4"/>
    <sheet name="APREENSÕES" sheetId="4" r:id="rId5"/>
    <sheet name="MORGUE" sheetId="6" r:id="rId6"/>
    <sheet name="PATIO" sheetId="7" r:id="rId7"/>
    <sheet name="PATIO NUTRI" sheetId="8" r:id="rId8"/>
    <sheet name="Base_Analise_Critica" sheetId="10" r:id="rId9"/>
    <sheet name="Config" sheetId="9" r:id="rId10"/>
    <sheet name="Base_Indicadore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8" l="1"/>
  <c r="B18" i="8"/>
  <c r="J19" i="7"/>
  <c r="I19" i="7"/>
  <c r="G19" i="7"/>
  <c r="F19" i="7"/>
  <c r="D19" i="7"/>
  <c r="C19" i="7"/>
  <c r="E19" i="7" s="1"/>
  <c r="H18" i="7"/>
  <c r="E18" i="7"/>
  <c r="H17" i="7"/>
  <c r="E17" i="7"/>
  <c r="H16" i="7"/>
  <c r="E16" i="7"/>
  <c r="H15" i="7"/>
  <c r="E15" i="7"/>
  <c r="H14" i="7"/>
  <c r="E14" i="7"/>
  <c r="H13" i="7"/>
  <c r="E13" i="7"/>
  <c r="H12" i="7"/>
  <c r="E12" i="7"/>
  <c r="H11" i="7"/>
  <c r="E11" i="7"/>
  <c r="H10" i="7"/>
  <c r="E10" i="7"/>
  <c r="H9" i="7"/>
  <c r="E9" i="7"/>
  <c r="K8" i="7"/>
  <c r="H8" i="7"/>
  <c r="E8" i="7"/>
  <c r="K7" i="7"/>
  <c r="K19" i="7" s="1"/>
  <c r="H7" i="7"/>
  <c r="H19" i="7" s="1"/>
  <c r="E7" i="7"/>
  <c r="G17" i="6"/>
  <c r="F17" i="6"/>
  <c r="E17" i="6"/>
  <c r="D17" i="6"/>
  <c r="C17" i="6"/>
  <c r="H6" i="6"/>
  <c r="H5" i="6"/>
  <c r="M18" i="5"/>
  <c r="L18" i="5"/>
  <c r="K18" i="5"/>
  <c r="J18" i="5"/>
  <c r="I18" i="5"/>
  <c r="H18" i="5"/>
  <c r="G18" i="5"/>
  <c r="F18" i="5"/>
  <c r="E18" i="5"/>
  <c r="G20" i="4"/>
  <c r="J19" i="4"/>
  <c r="I19" i="4"/>
  <c r="H19" i="4"/>
  <c r="F19" i="4"/>
  <c r="F20" i="4" s="1"/>
  <c r="H17" i="3"/>
  <c r="G17" i="3"/>
  <c r="F17" i="3"/>
  <c r="E17" i="3"/>
  <c r="D17" i="3"/>
  <c r="C17" i="3"/>
  <c r="M17" i="2"/>
  <c r="L17" i="2"/>
  <c r="K17" i="2"/>
  <c r="J17" i="2"/>
  <c r="F17" i="2"/>
  <c r="E17" i="2"/>
  <c r="D17" i="2"/>
  <c r="C17" i="2"/>
  <c r="N6" i="2"/>
  <c r="G6" i="2"/>
  <c r="N5" i="2"/>
  <c r="G5" i="2"/>
  <c r="F20" i="1"/>
  <c r="H19" i="1"/>
  <c r="G19" i="1"/>
  <c r="E19" i="1"/>
  <c r="D19" i="1"/>
  <c r="C19" i="1"/>
</calcChain>
</file>

<file path=xl/sharedStrings.xml><?xml version="1.0" encoding="utf-8"?>
<sst xmlns="http://schemas.openxmlformats.org/spreadsheetml/2006/main" count="290" uniqueCount="131">
  <si>
    <t>CONTROLE MENSAL DE EVASÃO DE PACIENTES</t>
  </si>
  <si>
    <t>DEMONSTRATIVO EVASÃO DE PACIENTES</t>
  </si>
  <si>
    <t xml:space="preserve">Meses </t>
  </si>
  <si>
    <t>Evasão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</si>
  <si>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</si>
  <si>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</si>
  <si>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</si>
  <si>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</si>
  <si>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</si>
  <si>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</si>
  <si>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</si>
  <si>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</si>
  <si>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</si>
  <si>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</si>
  <si>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</si>
  <si>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</si>
  <si>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Total/Período</t>
  </si>
  <si>
    <t>OBS: TotalXPeríodo - Considerando a somatória dos últimos quatro anos, medindo os valores</t>
  </si>
  <si>
    <t xml:space="preserve"> de atendimento X evasão</t>
  </si>
  <si>
    <t xml:space="preserve">                      CONTROLE DE ACESSO DE VISITAS E ACOMPANHANTES AO PACIENTE</t>
  </si>
  <si>
    <t>VISITANTE</t>
  </si>
  <si>
    <t>ACOMPANHANTES</t>
  </si>
  <si>
    <t>VAR.%</t>
  </si>
  <si>
    <t>OBS: Total X Período - Considerando a somatória e variação desde o ano de 2023</t>
  </si>
  <si>
    <t xml:space="preserve">                                     CONTROLE DE PACIENTES VITIMAS FAB/FAF  </t>
  </si>
  <si>
    <t>Meses</t>
  </si>
  <si>
    <t>FAB</t>
  </si>
  <si>
    <t>FAF</t>
  </si>
  <si>
    <t>OBS: Total X Período - Considerando a somatória dos três últimos anos</t>
  </si>
  <si>
    <t>FAB – Ferimento por Arma Branca (vitima)</t>
  </si>
  <si>
    <t>FAF – Ferimento por Arma de Fogo (vitima)</t>
  </si>
  <si>
    <t xml:space="preserve">                 CONTROLE DE APREENSÕES HUEM</t>
  </si>
  <si>
    <t xml:space="preserve">APREENSÕES </t>
  </si>
  <si>
    <t>APREENSÕES</t>
  </si>
  <si>
    <t>(ARMAS-OBJETOS)</t>
  </si>
  <si>
    <t xml:space="preserve"> (TABACO/ENTORPECENTES)</t>
  </si>
  <si>
    <t>OBS: Total X Período - Considerando a somatória mensal recolhida com a equipe</t>
  </si>
  <si>
    <t xml:space="preserve">assistencial no setor do Pronto-socorro no ato da internação do paciente. </t>
  </si>
  <si>
    <t>O acréscimo se deu com o recolhimento de carteiras de cigarros e eletrônicos.</t>
  </si>
  <si>
    <t xml:space="preserve"> </t>
  </si>
  <si>
    <t xml:space="preserve">                   CONTROLE DE INTERCORRÊNCIAS HUEM</t>
  </si>
  <si>
    <t>FURTO / EXTRAVIOS</t>
  </si>
  <si>
    <t>ESCOLTA POLICIAL</t>
  </si>
  <si>
    <t>INTERCORRÊNCIAS</t>
  </si>
  <si>
    <t xml:space="preserve">OBS: Total X Período - Considerando a somatória dos últimos três anos. </t>
  </si>
  <si>
    <t xml:space="preserve">Considerar todas as intercorrências que a equipe assistencial, equipe de apoio e outros acionam a segurança. </t>
  </si>
  <si>
    <t xml:space="preserve">                        CONTROLE DE ÓBITOS RECOLHIDOS - MORGUE</t>
  </si>
  <si>
    <t>MESES</t>
  </si>
  <si>
    <t>Var. %</t>
  </si>
  <si>
    <t>Total/Período Anual</t>
  </si>
  <si>
    <t xml:space="preserve">OBS: Total X Período - Considerando a somatória e variação dos anos anteriores </t>
  </si>
  <si>
    <t xml:space="preserve">O resultado do percentual calculado, referente a somatória do anos 2020 à 2024. </t>
  </si>
  <si>
    <t>CONTROLE MENSAL DE ACESSO AO PÁTIO</t>
  </si>
  <si>
    <t>DEMONSTRATIVO DE VEÍCULOS E AMBULÂNCIAS</t>
  </si>
  <si>
    <t>Ambulâncias</t>
  </si>
  <si>
    <t>Outros</t>
  </si>
  <si>
    <t>Total A+B</t>
  </si>
  <si>
    <t xml:space="preserve">OBS: TotalXPeríodo - Considerando os dados apresentados na somatória do ano vigente 2024 e 2025. </t>
  </si>
  <si>
    <t xml:space="preserve">CONTROLE MENSAL DE ACESSO AO PÁTIO </t>
  </si>
  <si>
    <t>DEMONSTRATIVO DE ENTREGAS PELO ACESSO NUTRIÇÃO</t>
  </si>
  <si>
    <t>ANO 2025</t>
  </si>
  <si>
    <t>ANO 2026</t>
  </si>
  <si>
    <t xml:space="preserve">OBS: TotalXPeríodo - Considerando os dados apresentados na somatória do ano vigente 2024. </t>
  </si>
  <si>
    <t>parametro</t>
  </si>
  <si>
    <t>valor</t>
  </si>
  <si>
    <t>nome_book</t>
  </si>
  <si>
    <t>BOOK DE INDICADORES</t>
  </si>
  <si>
    <t>nome_instituicao</t>
  </si>
  <si>
    <t>Universidade Presbiteriana Mackenzie</t>
  </si>
  <si>
    <t>departamento</t>
  </si>
  <si>
    <t>SEGURANÇA PATRIMONIAL</t>
  </si>
  <si>
    <t>periodo_atual</t>
  </si>
  <si>
    <t>Jan a Fev - 2025 x 2026</t>
  </si>
  <si>
    <t>data_atualizacao</t>
  </si>
  <si>
    <t>05/11/2026</t>
  </si>
  <si>
    <t>responsavel_geral</t>
  </si>
  <si>
    <t>Segurança Patrimonial</t>
  </si>
  <si>
    <t>versao</t>
  </si>
  <si>
    <t>v1.0 – Fase 1</t>
  </si>
  <si>
    <t>codigo_indicador</t>
  </si>
  <si>
    <t>analise_critica</t>
  </si>
  <si>
    <t>causa</t>
  </si>
  <si>
    <t>acao</t>
  </si>
  <si>
    <t>responsavel</t>
  </si>
  <si>
    <t>prazo</t>
  </si>
  <si>
    <t>SP.IND.002</t>
  </si>
  <si>
    <t>Pendente de Processo + checklist</t>
  </si>
  <si>
    <t>A preencher</t>
  </si>
  <si>
    <t>Implantar processo de rondas</t>
  </si>
  <si>
    <t>Coord. Segurança</t>
  </si>
  <si>
    <t>30/11/2026</t>
  </si>
  <si>
    <t>SP.IND.008</t>
  </si>
  <si>
    <t>Necessita criação de controle formal</t>
  </si>
  <si>
    <t>Criar formulário e rotina</t>
  </si>
  <si>
    <t>Manutenção</t>
  </si>
  <si>
    <t>28/02/2026</t>
  </si>
  <si>
    <t>codigo</t>
  </si>
  <si>
    <t>nome</t>
  </si>
  <si>
    <t>tipo</t>
  </si>
  <si>
    <t>periodicidade</t>
  </si>
  <si>
    <t>meta</t>
  </si>
  <si>
    <t>status</t>
  </si>
  <si>
    <t>observacoes</t>
  </si>
  <si>
    <t>SP.IND.001</t>
  </si>
  <si>
    <t>Incidência de Intercorrências de Segurança Patrimonial</t>
  </si>
  <si>
    <t>Operacional</t>
  </si>
  <si>
    <t>Mensal</t>
  </si>
  <si>
    <t>Em Atenção</t>
  </si>
  <si>
    <t>Planilha Indicadores Controle Geral Segurança</t>
  </si>
  <si>
    <t>Índice de Conformidade de Segurança Patrimonial</t>
  </si>
  <si>
    <t>Meta a definir</t>
  </si>
  <si>
    <t>Necessita implantação de processo + checklist de ronda</t>
  </si>
  <si>
    <t>SP.IND.003</t>
  </si>
  <si>
    <t>Atendimento às Solicitações de Óbito</t>
  </si>
  <si>
    <t>SP.IND.004</t>
  </si>
  <si>
    <t>Acesso de Pessoas à Instituição</t>
  </si>
  <si>
    <t>SP.IND.005</t>
  </si>
  <si>
    <t>Acesso de Veículos</t>
  </si>
  <si>
    <t>SP.IND.006</t>
  </si>
  <si>
    <t>Evasão de Pacientes</t>
  </si>
  <si>
    <t>≤ 3</t>
  </si>
  <si>
    <t>Acima da meta</t>
  </si>
  <si>
    <t>SP.IND.007</t>
  </si>
  <si>
    <t>Apreensões</t>
  </si>
  <si>
    <t>Pacientes Monitorados por Dispositivos Tornozelados</t>
  </si>
  <si>
    <t>Pendente de controle</t>
  </si>
  <si>
    <t>Necessita criação de controle</t>
  </si>
  <si>
    <t>SP.IND.009</t>
  </si>
  <si>
    <t>XXXXX</t>
  </si>
  <si>
    <t>XXX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</si>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</sst>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1" x14ac:knownFonts="1">
    <font>
      <sz val="10"/>
      <name val="Arial"/>
      <family val="2"/>
      <charset val="1"/>
    </font>
    <font>
      <b/>
      <sz val="14"/>
      <color rgb="FFFFFFFF"/>
      <name val="Calibri"/>
      <family val="2"/>
      <charset val="1"/>
    </font>
    <font>
      <b/>
      <sz val="9"/>
      <color rgb="FFFFFFFF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color rgb="FF000000"/>
      <name val="Arial Narrow"/>
      <family val="2"/>
      <charset val="1"/>
    </font>
    <font>
      <sz val="9"/>
      <color rgb="FF000000"/>
      <name val="Arial Narrow"/>
      <family val="2"/>
      <charset val="1"/>
    </font>
    <font>
      <sz val="8"/>
      <color rgb="FF000000"/>
      <name val="Arial Narrow"/>
      <family val="2"/>
      <charset val="1"/>
    </font>
    <font>
      <sz val="10"/>
      <color rgb="FF000000"/>
      <name val="Calibri"/>
      <family val="2"/>
      <charset val="1"/>
    </font>
    <font>
      <sz val="11"/>
      <name val="Arial"/>
      <family val="2"/>
      <charset val="1"/>
    </font>
    <font>
      <sz val="8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6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3"/>
      <color rgb="FF000000"/>
      <name val="Calibri"/>
      <family val="2"/>
      <charset val="1"/>
    </font>
    <font>
      <sz val="9"/>
      <name val="Arial"/>
      <family val="2"/>
      <charset val="1"/>
    </font>
    <font>
      <sz val="9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3"/>
      <color rgb="FFFFFFFF"/>
      <name val="Calibri"/>
      <family val="2"/>
      <charset val="1"/>
    </font>
    <font>
      <b/>
      <sz val="9"/>
      <color rgb="FF000000"/>
      <name val="Calibri"/>
      <family val="2"/>
      <charset val="1"/>
    </font>
    <font>
      <sz val="10"/>
      <name val="Calibri"/>
      <family val="2"/>
      <charset val="1"/>
    </font>
    <font>
      <b/>
      <sz val="18"/>
      <color rgb="FFFFFFFF"/>
      <name val="Calibri"/>
      <family val="2"/>
      <charset val="1"/>
    </font>
    <font>
      <sz val="18"/>
      <name val="Arial"/>
      <family val="2"/>
      <charset val="1"/>
    </font>
    <font>
      <b/>
      <sz val="12"/>
      <color rgb="FF13164D"/>
      <name val="Calibri"/>
      <family val="2"/>
      <charset val="1"/>
    </font>
    <font>
      <sz val="9"/>
      <color rgb="FF000000"/>
      <name val="Arial"/>
      <family val="2"/>
      <charset val="1"/>
    </font>
    <font>
      <b/>
      <sz val="11"/>
      <color rgb="FF4F6CFF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290FEB"/>
      <name val="Calibri"/>
      <family val="2"/>
    </font>
    <font>
      <b/>
      <sz val="12"/>
      <color rgb="FFC00000"/>
      <name val="Calibri"/>
      <family val="2"/>
    </font>
    <font>
      <b/>
      <sz val="16"/>
      <color rgb="FF13164D"/>
      <name val="Calibri"/>
      <family val="2"/>
      <charset val="1"/>
    </font>
    <font>
      <b/>
      <sz val="12"/>
      <color rgb="FF0909E1"/>
      <name val="Calibri"/>
      <family val="2"/>
    </font>
    <font>
      <b/>
      <sz val="12"/>
      <color rgb="FFFF0000"/>
      <name val="Calibri"/>
      <family val="2"/>
    </font>
    <font>
      <sz val="11"/>
      <color theme="1"/>
      <name val="Calibri"/>
      <family val="2"/>
      <charset val="1"/>
    </font>
    <font>
      <b/>
      <sz val="8"/>
      <color rgb="FF000000"/>
      <name val="Calibri"/>
      <family val="2"/>
      <charset val="1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0"/>
      <color rgb="FFFFFFFF"/>
      <name val="Calibri"/>
      <family val="2"/>
    </font>
    <font>
      <b/>
      <sz val="9"/>
      <color rgb="FF13164D"/>
      <name val="Calibri"/>
      <family val="2"/>
      <charset val="1"/>
    </font>
    <font>
      <b/>
      <sz val="12"/>
      <color rgb="FFFFFFFF"/>
      <name val="Calibri"/>
      <family val="2"/>
    </font>
    <font>
      <b/>
      <sz val="11"/>
      <color rgb="FF0909E1"/>
      <name val="Calibri"/>
      <family val="2"/>
    </font>
    <font>
      <b/>
      <sz val="11"/>
      <color rgb="FFFF0000"/>
      <name val="Calibri"/>
      <family val="2"/>
    </font>
    <font>
      <b/>
      <sz val="11"/>
      <color rgb="FF290FEB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A5A5A5"/>
        <bgColor rgb="FFA6A6A6"/>
      </patternFill>
    </fill>
    <fill>
      <patternFill patternType="solid">
        <fgColor rgb="FFFF0000"/>
        <bgColor rgb="FFC00000"/>
      </patternFill>
    </fill>
    <fill>
      <patternFill patternType="solid">
        <fgColor rgb="FFFFFF66"/>
        <bgColor rgb="FFCCFF66"/>
      </patternFill>
    </fill>
    <fill>
      <patternFill patternType="solid">
        <fgColor rgb="FFCCFF66"/>
        <bgColor rgb="FFCCFF99"/>
      </patternFill>
    </fill>
    <fill>
      <patternFill patternType="solid">
        <fgColor rgb="FFFFFFFF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77DA46"/>
        <bgColor rgb="FF9BBB59"/>
      </patternFill>
    </fill>
    <fill>
      <patternFill patternType="solid">
        <fgColor rgb="FFF2F2F2"/>
        <bgColor rgb="FFFDEADA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rgb="FF3F3F3F"/>
      </top>
      <bottom style="double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rgb="FF3F3F3F"/>
      </left>
      <right/>
      <top style="double">
        <color auto="1"/>
      </top>
      <bottom/>
      <diagonal/>
    </border>
    <border>
      <left/>
      <right style="double">
        <color rgb="FF3F3F3F"/>
      </right>
      <top style="double">
        <color auto="1"/>
      </top>
      <bottom/>
      <diagonal/>
    </border>
    <border>
      <left/>
      <right style="double">
        <color rgb="FF3F3F3F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rgb="FF3F3F3F"/>
      </left>
      <right/>
      <top/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auto="1"/>
      </left>
      <right style="double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</borders>
  <cellStyleXfs count="2">
    <xf numFmtId="0" fontId="0" fillId="0" borderId="0"/>
    <xf numFmtId="0" fontId="4" fillId="2" borderId="1"/>
  </cellStyleXfs>
  <cellXfs count="171">
    <xf numFmtId="0" fontId="0" fillId="0" borderId="0" xfId="0"/>
    <xf numFmtId="0" fontId="4" fillId="2" borderId="1" xfId="1" applyAlignment="1">
      <alignment horizontal="center" vertical="center"/>
    </xf>
    <xf numFmtId="0" fontId="4" fillId="2" borderId="3" xfId="1" applyBorder="1" applyAlignment="1">
      <alignment horizontal="center" vertical="center"/>
    </xf>
    <xf numFmtId="0" fontId="4" fillId="2" borderId="4" xfId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vertical="center"/>
    </xf>
    <xf numFmtId="3" fontId="7" fillId="5" borderId="2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left" vertical="center"/>
    </xf>
    <xf numFmtId="0" fontId="10" fillId="6" borderId="10" xfId="0" applyFont="1" applyFill="1" applyBorder="1" applyAlignment="1">
      <alignment horizontal="left" vertical="center"/>
    </xf>
    <xf numFmtId="0" fontId="10" fillId="6" borderId="11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center" vertical="center"/>
    </xf>
    <xf numFmtId="0" fontId="14" fillId="0" borderId="0" xfId="0" applyFont="1"/>
    <xf numFmtId="17" fontId="0" fillId="0" borderId="0" xfId="0" applyNumberFormat="1"/>
    <xf numFmtId="0" fontId="17" fillId="4" borderId="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 wrapText="1"/>
    </xf>
    <xf numFmtId="3" fontId="18" fillId="5" borderId="2" xfId="0" applyNumberFormat="1" applyFont="1" applyFill="1" applyBorder="1" applyAlignment="1">
      <alignment horizontal="center" vertical="center" wrapText="1"/>
    </xf>
    <xf numFmtId="3" fontId="16" fillId="5" borderId="2" xfId="0" applyNumberFormat="1" applyFont="1" applyFill="1" applyBorder="1" applyAlignment="1">
      <alignment horizontal="center" vertical="center"/>
    </xf>
    <xf numFmtId="3" fontId="18" fillId="5" borderId="2" xfId="0" applyNumberFormat="1" applyFont="1" applyFill="1" applyBorder="1" applyAlignment="1">
      <alignment horizontal="center" vertical="center"/>
    </xf>
    <xf numFmtId="0" fontId="19" fillId="0" borderId="0" xfId="0" applyFont="1"/>
    <xf numFmtId="0" fontId="21" fillId="0" borderId="15" xfId="0" applyFont="1" applyBorder="1"/>
    <xf numFmtId="0" fontId="19" fillId="0" borderId="16" xfId="0" applyFont="1" applyBorder="1"/>
    <xf numFmtId="0" fontId="19" fillId="0" borderId="17" xfId="0" applyFont="1" applyBorder="1"/>
    <xf numFmtId="0" fontId="0" fillId="0" borderId="19" xfId="0" applyBorder="1"/>
    <xf numFmtId="0" fontId="0" fillId="0" borderId="16" xfId="0" applyBorder="1"/>
    <xf numFmtId="0" fontId="0" fillId="0" borderId="21" xfId="0" applyBorder="1"/>
    <xf numFmtId="0" fontId="23" fillId="6" borderId="22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12" fillId="0" borderId="0" xfId="0" applyFont="1"/>
    <xf numFmtId="0" fontId="15" fillId="6" borderId="25" xfId="0" applyFont="1" applyFill="1" applyBorder="1" applyAlignment="1">
      <alignment horizontal="center" vertical="center"/>
    </xf>
    <xf numFmtId="0" fontId="22" fillId="7" borderId="14" xfId="0" applyFont="1" applyFill="1" applyBorder="1" applyAlignment="1">
      <alignment horizontal="center" vertical="center"/>
    </xf>
    <xf numFmtId="0" fontId="25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0" fontId="27" fillId="0" borderId="12" xfId="0" applyFont="1" applyBorder="1" applyAlignment="1">
      <alignment wrapText="1"/>
    </xf>
    <xf numFmtId="3" fontId="16" fillId="9" borderId="2" xfId="0" applyNumberFormat="1" applyFont="1" applyFill="1" applyBorder="1" applyAlignment="1">
      <alignment horizontal="center" vertical="center" wrapText="1"/>
    </xf>
    <xf numFmtId="0" fontId="29" fillId="0" borderId="33" xfId="0" applyFont="1" applyBorder="1" applyAlignment="1">
      <alignment horizontal="left" wrapText="1"/>
    </xf>
    <xf numFmtId="0" fontId="27" fillId="0" borderId="33" xfId="0" applyFont="1" applyBorder="1" applyAlignment="1">
      <alignment wrapText="1"/>
    </xf>
    <xf numFmtId="0" fontId="27" fillId="0" borderId="16" xfId="0" applyFont="1" applyBorder="1" applyAlignment="1">
      <alignment wrapText="1"/>
    </xf>
    <xf numFmtId="0" fontId="35" fillId="4" borderId="2" xfId="0" applyFont="1" applyFill="1" applyBorder="1" applyAlignment="1">
      <alignment horizontal="center" vertical="center" wrapText="1"/>
    </xf>
    <xf numFmtId="3" fontId="35" fillId="4" borderId="2" xfId="0" applyNumberFormat="1" applyFont="1" applyFill="1" applyBorder="1" applyAlignment="1">
      <alignment horizontal="center" vertical="center"/>
    </xf>
    <xf numFmtId="0" fontId="34" fillId="4" borderId="2" xfId="0" applyFont="1" applyFill="1" applyBorder="1" applyAlignment="1">
      <alignment horizontal="center" wrapText="1"/>
    </xf>
    <xf numFmtId="0" fontId="33" fillId="4" borderId="2" xfId="0" applyFont="1" applyFill="1" applyBorder="1" applyAlignment="1">
      <alignment horizontal="center" wrapText="1"/>
    </xf>
    <xf numFmtId="3" fontId="33" fillId="4" borderId="2" xfId="0" applyNumberFormat="1" applyFont="1" applyFill="1" applyBorder="1" applyAlignment="1">
      <alignment horizontal="center"/>
    </xf>
    <xf numFmtId="0" fontId="33" fillId="4" borderId="2" xfId="0" applyFont="1" applyFill="1" applyBorder="1" applyAlignment="1">
      <alignment horizontal="center" vertical="center"/>
    </xf>
    <xf numFmtId="10" fontId="36" fillId="4" borderId="2" xfId="0" applyNumberFormat="1" applyFont="1" applyFill="1" applyBorder="1" applyAlignment="1">
      <alignment horizontal="center" wrapText="1"/>
    </xf>
    <xf numFmtId="0" fontId="34" fillId="8" borderId="2" xfId="0" applyFont="1" applyFill="1" applyBorder="1" applyAlignment="1">
      <alignment vertical="center"/>
    </xf>
    <xf numFmtId="3" fontId="34" fillId="8" borderId="2" xfId="0" applyNumberFormat="1" applyFont="1" applyFill="1" applyBorder="1" applyAlignment="1">
      <alignment horizontal="center" vertical="center"/>
    </xf>
    <xf numFmtId="10" fontId="37" fillId="8" borderId="2" xfId="0" applyNumberFormat="1" applyFont="1" applyFill="1" applyBorder="1" applyAlignment="1">
      <alignment horizontal="center" wrapText="1"/>
    </xf>
    <xf numFmtId="0" fontId="0" fillId="10" borderId="0" xfId="0" applyFill="1"/>
    <xf numFmtId="0" fontId="14" fillId="10" borderId="0" xfId="0" applyFont="1" applyFill="1"/>
    <xf numFmtId="0" fontId="2" fillId="10" borderId="0" xfId="0" applyFont="1" applyFill="1" applyAlignment="1">
      <alignment vertical="center"/>
    </xf>
    <xf numFmtId="0" fontId="7" fillId="5" borderId="2" xfId="0" applyFont="1" applyFill="1" applyBorder="1" applyAlignment="1">
      <alignment horizontal="center" vertical="center"/>
    </xf>
    <xf numFmtId="0" fontId="32" fillId="4" borderId="6" xfId="0" applyFont="1" applyFill="1" applyBorder="1" applyAlignment="1">
      <alignment horizontal="center" vertical="center" wrapText="1"/>
    </xf>
    <xf numFmtId="0" fontId="32" fillId="4" borderId="2" xfId="0" applyFont="1" applyFill="1" applyBorder="1" applyAlignment="1">
      <alignment horizontal="center" vertical="center" wrapText="1"/>
    </xf>
    <xf numFmtId="0" fontId="24" fillId="7" borderId="11" xfId="0" applyFont="1" applyFill="1" applyBorder="1" applyAlignment="1">
      <alignment horizontal="center" vertical="center"/>
    </xf>
    <xf numFmtId="3" fontId="35" fillId="4" borderId="2" xfId="0" applyNumberFormat="1" applyFont="1" applyFill="1" applyBorder="1" applyAlignment="1">
      <alignment horizontal="center" vertical="center" wrapText="1"/>
    </xf>
    <xf numFmtId="0" fontId="35" fillId="4" borderId="32" xfId="0" applyFont="1" applyFill="1" applyBorder="1" applyAlignment="1">
      <alignment horizontal="center" vertical="center" wrapText="1"/>
    </xf>
    <xf numFmtId="3" fontId="30" fillId="4" borderId="2" xfId="0" applyNumberFormat="1" applyFont="1" applyFill="1" applyBorder="1" applyAlignment="1">
      <alignment horizontal="center" vertical="center" wrapText="1"/>
    </xf>
    <xf numFmtId="3" fontId="30" fillId="4" borderId="2" xfId="0" applyNumberFormat="1" applyFont="1" applyFill="1" applyBorder="1" applyAlignment="1">
      <alignment horizontal="center" wrapText="1"/>
    </xf>
    <xf numFmtId="10" fontId="39" fillId="4" borderId="2" xfId="0" applyNumberFormat="1" applyFont="1" applyFill="1" applyBorder="1" applyAlignment="1">
      <alignment horizontal="center" wrapText="1"/>
    </xf>
    <xf numFmtId="0" fontId="7" fillId="9" borderId="2" xfId="0" applyFont="1" applyFill="1" applyBorder="1" applyAlignment="1">
      <alignment horizontal="center" vertical="center" wrapText="1"/>
    </xf>
    <xf numFmtId="3" fontId="0" fillId="0" borderId="0" xfId="0" applyNumberFormat="1"/>
    <xf numFmtId="3" fontId="32" fillId="4" borderId="2" xfId="0" applyNumberFormat="1" applyFont="1" applyFill="1" applyBorder="1" applyAlignment="1">
      <alignment horizontal="center" vertical="center"/>
    </xf>
    <xf numFmtId="10" fontId="40" fillId="4" borderId="2" xfId="0" applyNumberFormat="1" applyFont="1" applyFill="1" applyBorder="1" applyAlignment="1">
      <alignment horizontal="center" wrapText="1"/>
    </xf>
    <xf numFmtId="3" fontId="16" fillId="5" borderId="2" xfId="0" applyNumberFormat="1" applyFont="1" applyFill="1" applyBorder="1" applyAlignment="1">
      <alignment horizontal="center" vertical="center" wrapText="1"/>
    </xf>
    <xf numFmtId="0" fontId="35" fillId="4" borderId="6" xfId="0" applyFont="1" applyFill="1" applyBorder="1" applyAlignment="1">
      <alignment horizontal="center" vertical="center" wrapText="1"/>
    </xf>
    <xf numFmtId="0" fontId="41" fillId="4" borderId="2" xfId="0" applyFont="1" applyFill="1" applyBorder="1" applyAlignment="1">
      <alignment horizontal="center" vertical="center"/>
    </xf>
    <xf numFmtId="0" fontId="43" fillId="4" borderId="2" xfId="0" applyFont="1" applyFill="1" applyBorder="1" applyAlignment="1">
      <alignment horizontal="center" vertical="center" wrapText="1"/>
    </xf>
    <xf numFmtId="0" fontId="44" fillId="4" borderId="2" xfId="0" applyFont="1" applyFill="1" applyBorder="1" applyAlignment="1">
      <alignment horizontal="center" vertical="center" wrapText="1"/>
    </xf>
    <xf numFmtId="0" fontId="43" fillId="4" borderId="8" xfId="0" applyFont="1" applyFill="1" applyBorder="1" applyAlignment="1">
      <alignment horizontal="center" vertical="center" wrapText="1"/>
    </xf>
    <xf numFmtId="0" fontId="44" fillId="4" borderId="8" xfId="0" applyFont="1" applyFill="1" applyBorder="1" applyAlignment="1">
      <alignment horizontal="center" vertical="center" wrapText="1"/>
    </xf>
    <xf numFmtId="0" fontId="43" fillId="4" borderId="23" xfId="0" applyFont="1" applyFill="1" applyBorder="1" applyAlignment="1">
      <alignment horizontal="center" vertical="center" wrapText="1"/>
    </xf>
    <xf numFmtId="0" fontId="44" fillId="4" borderId="23" xfId="0" applyFont="1" applyFill="1" applyBorder="1" applyAlignment="1">
      <alignment horizontal="center" vertical="center" wrapText="1"/>
    </xf>
    <xf numFmtId="0" fontId="43" fillId="4" borderId="6" xfId="0" applyFont="1" applyFill="1" applyBorder="1" applyAlignment="1">
      <alignment horizontal="center" vertical="center" wrapText="1"/>
    </xf>
    <xf numFmtId="0" fontId="44" fillId="4" borderId="6" xfId="0" applyFont="1" applyFill="1" applyBorder="1" applyAlignment="1">
      <alignment horizontal="center" vertical="center" wrapText="1"/>
    </xf>
    <xf numFmtId="3" fontId="43" fillId="4" borderId="2" xfId="0" applyNumberFormat="1" applyFont="1" applyFill="1" applyBorder="1" applyAlignment="1">
      <alignment horizontal="center" vertical="center"/>
    </xf>
    <xf numFmtId="3" fontId="44" fillId="4" borderId="2" xfId="0" applyNumberFormat="1" applyFont="1" applyFill="1" applyBorder="1" applyAlignment="1">
      <alignment horizontal="center" vertical="center"/>
    </xf>
    <xf numFmtId="0" fontId="31" fillId="5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left" vertical="center"/>
    </xf>
    <xf numFmtId="0" fontId="0" fillId="10" borderId="7" xfId="0" applyFill="1" applyBorder="1"/>
    <xf numFmtId="0" fontId="3" fillId="6" borderId="0" xfId="0" applyFont="1" applyFill="1" applyAlignment="1">
      <alignment horizontal="center" vertical="center"/>
    </xf>
    <xf numFmtId="0" fontId="16" fillId="9" borderId="2" xfId="0" applyFont="1" applyFill="1" applyBorder="1" applyAlignment="1">
      <alignment horizontal="center" vertical="center" wrapText="1"/>
    </xf>
    <xf numFmtId="0" fontId="33" fillId="4" borderId="2" xfId="0" applyFont="1" applyFill="1" applyBorder="1" applyAlignment="1">
      <alignment horizontal="left" vertical="center" wrapText="1"/>
    </xf>
    <xf numFmtId="3" fontId="34" fillId="4" borderId="2" xfId="0" applyNumberFormat="1" applyFont="1" applyFill="1" applyBorder="1" applyAlignment="1">
      <alignment horizontal="center" vertical="center" wrapText="1"/>
    </xf>
    <xf numFmtId="0" fontId="34" fillId="9" borderId="2" xfId="0" applyFont="1" applyFill="1" applyBorder="1" applyAlignment="1">
      <alignment horizontal="center" vertical="center" wrapText="1"/>
    </xf>
    <xf numFmtId="3" fontId="34" fillId="9" borderId="2" xfId="0" applyNumberFormat="1" applyFont="1" applyFill="1" applyBorder="1" applyAlignment="1">
      <alignment horizontal="center" vertical="center" wrapText="1"/>
    </xf>
    <xf numFmtId="0" fontId="46" fillId="2" borderId="31" xfId="0" applyFont="1" applyFill="1" applyBorder="1" applyAlignment="1">
      <alignment horizontal="center" vertical="center" wrapText="1"/>
    </xf>
    <xf numFmtId="3" fontId="35" fillId="4" borderId="6" xfId="0" applyNumberFormat="1" applyFont="1" applyFill="1" applyBorder="1" applyAlignment="1">
      <alignment horizontal="center" vertical="center"/>
    </xf>
    <xf numFmtId="3" fontId="32" fillId="4" borderId="6" xfId="0" applyNumberFormat="1" applyFont="1" applyFill="1" applyBorder="1" applyAlignment="1">
      <alignment horizontal="center" vertical="center"/>
    </xf>
    <xf numFmtId="164" fontId="48" fillId="4" borderId="6" xfId="0" applyNumberFormat="1" applyFont="1" applyFill="1" applyBorder="1" applyAlignment="1">
      <alignment horizontal="center" vertical="center"/>
    </xf>
    <xf numFmtId="164" fontId="49" fillId="4" borderId="6" xfId="0" applyNumberFormat="1" applyFont="1" applyFill="1" applyBorder="1" applyAlignment="1">
      <alignment horizontal="center" vertical="center"/>
    </xf>
    <xf numFmtId="3" fontId="35" fillId="4" borderId="6" xfId="0" applyNumberFormat="1" applyFont="1" applyFill="1" applyBorder="1" applyAlignment="1">
      <alignment horizontal="center" vertical="center" wrapText="1"/>
    </xf>
    <xf numFmtId="3" fontId="32" fillId="4" borderId="6" xfId="0" applyNumberFormat="1" applyFont="1" applyFill="1" applyBorder="1" applyAlignment="1">
      <alignment horizontal="center" vertical="center" wrapText="1"/>
    </xf>
    <xf numFmtId="164" fontId="50" fillId="4" borderId="6" xfId="0" applyNumberFormat="1" applyFont="1" applyFill="1" applyBorder="1" applyAlignment="1">
      <alignment horizontal="center" vertical="center"/>
    </xf>
    <xf numFmtId="3" fontId="32" fillId="4" borderId="2" xfId="0" applyNumberFormat="1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/>
    </xf>
    <xf numFmtId="0" fontId="24" fillId="7" borderId="6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1" fillId="3" borderId="2" xfId="0" applyFont="1" applyFill="1" applyBorder="1" applyAlignment="1">
      <alignment horizontal="center" vertical="center"/>
    </xf>
    <xf numFmtId="0" fontId="0" fillId="0" borderId="12" xfId="0" applyBorder="1"/>
    <xf numFmtId="0" fontId="0" fillId="0" borderId="23" xfId="0" applyBorder="1"/>
    <xf numFmtId="0" fontId="8" fillId="6" borderId="8" xfId="0" applyFont="1" applyFill="1" applyBorder="1" applyAlignment="1">
      <alignment horizontal="left" vertical="center"/>
    </xf>
    <xf numFmtId="0" fontId="0" fillId="0" borderId="7" xfId="0" applyBorder="1"/>
    <xf numFmtId="0" fontId="0" fillId="0" borderId="43" xfId="0" applyBorder="1"/>
    <xf numFmtId="0" fontId="3" fillId="2" borderId="2" xfId="1" applyFont="1" applyBorder="1" applyAlignment="1">
      <alignment horizontal="center" vertical="center"/>
    </xf>
    <xf numFmtId="0" fontId="1" fillId="2" borderId="44" xfId="1" applyFont="1" applyBorder="1" applyAlignment="1">
      <alignment horizontal="center" vertical="center"/>
    </xf>
    <xf numFmtId="0" fontId="0" fillId="0" borderId="5" xfId="0" applyBorder="1"/>
    <xf numFmtId="0" fontId="20" fillId="6" borderId="45" xfId="0" applyFont="1" applyFill="1" applyBorder="1" applyAlignment="1">
      <alignment horizontal="left" vertical="center"/>
    </xf>
    <xf numFmtId="0" fontId="0" fillId="0" borderId="25" xfId="0" applyBorder="1"/>
    <xf numFmtId="0" fontId="0" fillId="0" borderId="38" xfId="0" applyBorder="1"/>
    <xf numFmtId="0" fontId="16" fillId="7" borderId="9" xfId="0" applyFont="1" applyFill="1" applyBorder="1" applyAlignment="1">
      <alignment horizontal="center" vertical="center"/>
    </xf>
    <xf numFmtId="0" fontId="0" fillId="0" borderId="10" xfId="0" applyBorder="1"/>
    <xf numFmtId="0" fontId="15" fillId="3" borderId="13" xfId="0" applyFont="1" applyFill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0" fontId="16" fillId="7" borderId="14" xfId="0" applyFont="1" applyFill="1" applyBorder="1" applyAlignment="1">
      <alignment horizontal="center" vertical="center"/>
    </xf>
    <xf numFmtId="0" fontId="0" fillId="0" borderId="22" xfId="0" applyBorder="1"/>
    <xf numFmtId="0" fontId="0" fillId="0" borderId="34" xfId="0" applyBorder="1"/>
    <xf numFmtId="0" fontId="0" fillId="0" borderId="18" xfId="0" applyBorder="1"/>
    <xf numFmtId="0" fontId="0" fillId="0" borderId="6" xfId="0" applyBorder="1"/>
    <xf numFmtId="0" fontId="16" fillId="7" borderId="6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0" fillId="0" borderId="11" xfId="0" applyBorder="1"/>
    <xf numFmtId="0" fontId="12" fillId="0" borderId="18" xfId="0" applyFont="1" applyBorder="1" applyAlignment="1">
      <alignment horizontal="left" vertical="center"/>
    </xf>
    <xf numFmtId="0" fontId="12" fillId="0" borderId="0" xfId="0" applyFont="1"/>
    <xf numFmtId="0" fontId="0" fillId="0" borderId="48" xfId="0" applyBorder="1"/>
    <xf numFmtId="0" fontId="16" fillId="7" borderId="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left" vertical="center"/>
    </xf>
    <xf numFmtId="0" fontId="45" fillId="3" borderId="20" xfId="0" applyFont="1" applyFill="1" applyBorder="1" applyAlignment="1">
      <alignment horizontal="center" vertical="center"/>
    </xf>
    <xf numFmtId="0" fontId="42" fillId="7" borderId="49" xfId="0" applyFont="1" applyFill="1" applyBorder="1" applyAlignment="1">
      <alignment horizontal="center" vertical="center"/>
    </xf>
    <xf numFmtId="0" fontId="0" fillId="0" borderId="50" xfId="0" applyBorder="1"/>
    <xf numFmtId="0" fontId="0" fillId="0" borderId="51" xfId="0" applyBorder="1"/>
    <xf numFmtId="0" fontId="13" fillId="6" borderId="52" xfId="0" applyFont="1" applyFill="1" applyBorder="1" applyAlignment="1">
      <alignment horizontal="left" vertical="center" wrapText="1"/>
    </xf>
    <xf numFmtId="0" fontId="0" fillId="0" borderId="0" xfId="0"/>
    <xf numFmtId="0" fontId="0" fillId="0" borderId="41" xfId="0" applyBorder="1"/>
    <xf numFmtId="0" fontId="13" fillId="6" borderId="6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/>
    </xf>
    <xf numFmtId="0" fontId="42" fillId="7" borderId="6" xfId="0" applyFont="1" applyFill="1" applyBorder="1" applyAlignment="1">
      <alignment horizontal="center" vertical="center"/>
    </xf>
    <xf numFmtId="0" fontId="13" fillId="6" borderId="49" xfId="0" applyFont="1" applyFill="1" applyBorder="1" applyAlignment="1">
      <alignment vertical="center" wrapText="1"/>
    </xf>
    <xf numFmtId="0" fontId="24" fillId="7" borderId="2" xfId="0" applyFont="1" applyFill="1" applyBorder="1" applyAlignment="1">
      <alignment horizontal="center" vertical="center"/>
    </xf>
    <xf numFmtId="0" fontId="47" fillId="3" borderId="24" xfId="0" applyFont="1" applyFill="1" applyBorder="1" applyAlignment="1">
      <alignment horizontal="center" vertical="center"/>
    </xf>
    <xf numFmtId="0" fontId="13" fillId="6" borderId="40" xfId="0" applyFont="1" applyFill="1" applyBorder="1" applyAlignment="1">
      <alignment horizontal="left" vertical="center" wrapText="1"/>
    </xf>
    <xf numFmtId="0" fontId="0" fillId="0" borderId="55" xfId="0" applyBorder="1"/>
    <xf numFmtId="0" fontId="0" fillId="0" borderId="56" xfId="0" applyBorder="1"/>
    <xf numFmtId="0" fontId="7" fillId="7" borderId="6" xfId="0" applyFont="1" applyFill="1" applyBorder="1" applyAlignment="1">
      <alignment horizontal="center" vertical="center"/>
    </xf>
    <xf numFmtId="0" fontId="13" fillId="6" borderId="39" xfId="0" applyFont="1" applyFill="1" applyBorder="1" applyAlignment="1">
      <alignment vertical="center" wrapText="1"/>
    </xf>
    <xf numFmtId="0" fontId="0" fillId="0" borderId="53" xfId="0" applyBorder="1"/>
    <xf numFmtId="0" fontId="0" fillId="0" borderId="54" xfId="0" applyBorder="1"/>
    <xf numFmtId="0" fontId="11" fillId="6" borderId="26" xfId="0" applyFont="1" applyFill="1" applyBorder="1" applyAlignment="1">
      <alignment horizontal="left" vertical="center"/>
    </xf>
    <xf numFmtId="0" fontId="0" fillId="0" borderId="57" xfId="0" applyBorder="1"/>
    <xf numFmtId="0" fontId="0" fillId="0" borderId="58" xfId="0" applyBorder="1"/>
    <xf numFmtId="0" fontId="1" fillId="3" borderId="13" xfId="0" applyFont="1" applyFill="1" applyBorder="1" applyAlignment="1">
      <alignment horizontal="center" vertical="center"/>
    </xf>
    <xf numFmtId="0" fontId="26" fillId="3" borderId="2" xfId="0" applyFont="1" applyFill="1" applyBorder="1" applyAlignment="1">
      <alignment horizontal="center" vertical="center" wrapText="1"/>
    </xf>
    <xf numFmtId="0" fontId="38" fillId="2" borderId="30" xfId="0" applyFont="1" applyFill="1" applyBorder="1" applyAlignment="1">
      <alignment horizontal="center" vertical="center" wrapText="1"/>
    </xf>
    <xf numFmtId="0" fontId="28" fillId="2" borderId="44" xfId="0" applyFont="1" applyFill="1" applyBorder="1" applyAlignment="1">
      <alignment horizontal="center" vertical="center" wrapText="1"/>
    </xf>
    <xf numFmtId="0" fontId="0" fillId="0" borderId="37" xfId="0" applyBorder="1"/>
    <xf numFmtId="0" fontId="28" fillId="2" borderId="31" xfId="0" applyFont="1" applyFill="1" applyBorder="1" applyAlignment="1">
      <alignment horizontal="center" vertical="center" wrapText="1"/>
    </xf>
    <xf numFmtId="0" fontId="0" fillId="0" borderId="36" xfId="0" applyBorder="1"/>
    <xf numFmtId="0" fontId="1" fillId="2" borderId="8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 wrapText="1"/>
    </xf>
    <xf numFmtId="0" fontId="28" fillId="2" borderId="35" xfId="0" applyFont="1" applyFill="1" applyBorder="1" applyAlignment="1">
      <alignment horizontal="center" vertical="center" wrapText="1"/>
    </xf>
    <xf numFmtId="0" fontId="0" fillId="0" borderId="42" xfId="0" applyBorder="1"/>
    <xf numFmtId="0" fontId="1" fillId="3" borderId="2" xfId="0" applyFont="1" applyFill="1" applyBorder="1" applyAlignment="1">
      <alignment horizontal="center" vertical="center" wrapText="1"/>
    </xf>
  </cellXfs>
  <cellStyles count="2">
    <cellStyle name="Excel Built-in Check Cell" xfId="1" xr:uid="{00000000-0005-0000-0000-000001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CCFF66"/>
      <rgbColor rgb="FFFF00FF"/>
      <rgbColor rgb="FF00FFFF"/>
      <rgbColor rgb="FFC00000"/>
      <rgbColor rgb="FF008000"/>
      <rgbColor rgb="FF13164D"/>
      <rgbColor rgb="FF9BBB59"/>
      <rgbColor rgb="FF800080"/>
      <rgbColor rgb="FF4F81BD"/>
      <rgbColor rgb="FFBFBFBF"/>
      <rgbColor rgb="FF7F7F7F"/>
      <rgbColor rgb="FF93A9CE"/>
      <rgbColor rgb="FFC0504D"/>
      <rgbColor rgb="FFFDEADA"/>
      <rgbColor rgb="FFF2F2F2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290FEB"/>
      <rgbColor rgb="FF00CCFF"/>
      <rgbColor rgb="FFCCFFFF"/>
      <rgbColor rgb="FFCCFF99"/>
      <rgbColor rgb="FFFFFF66"/>
      <rgbColor rgb="FFC4BD97"/>
      <rgbColor rgb="FFFF99CC"/>
      <rgbColor rgb="FFA6A6A6"/>
      <rgbColor rgb="FFD9D9D9"/>
      <rgbColor rgb="FF4672A8"/>
      <rgbColor rgb="FF4BACC6"/>
      <rgbColor rgb="FF77DA46"/>
      <rgbColor rgb="FFFFCC00"/>
      <rgbColor rgb="FFF79646"/>
      <rgbColor rgb="FFE46C0A"/>
      <rgbColor rgb="FF8064A2"/>
      <rgbColor rgb="FFA5A5A5"/>
      <rgbColor rgb="FF002060"/>
      <rgbColor rgb="FF4299B0"/>
      <rgbColor rgb="FF404040"/>
      <rgbColor rgb="FF1E1C11"/>
      <rgbColor rgb="FF772C2A"/>
      <rgbColor rgb="FF595959"/>
      <rgbColor rgb="FF2C4D75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endParaRPr lang="pt-BR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4701810587468812E-2"/>
          <c:y val="0.149605451955207"/>
          <c:w val="0.87964106400392106"/>
          <c:h val="0.6752929569686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'INTERCORRENCIAS SEG'!$K$4:$K$5</c:f>
              <c:strCache>
                <c:ptCount val="2"/>
                <c:pt idx="0">
                  <c:v>INTERCORRÊNCIAS</c:v>
                </c:pt>
                <c:pt idx="1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7000"/>
                    <a:satMod val="105000"/>
                    <a:lumMod val="110000"/>
                  </a:schemeClr>
                </a:gs>
                <a:gs pos="50000">
                  <a:schemeClr val="accent1">
                    <a:tint val="73000"/>
                    <a:satMod val="103000"/>
                    <a:lumMod val="105000"/>
                  </a:schemeClr>
                </a:gs>
                <a:gs pos="100000">
                  <a:schemeClr val="accent1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'INTERCORRENCIAS SEG'!$D$6:$D$18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'INTERCORRENCIAS SEG'!$K$6:$K$18</c:f>
              <c:numCache>
                <c:formatCode>General</c:formatCode>
                <c:ptCount val="13"/>
                <c:pt idx="0">
                  <c:v>45</c:v>
                </c:pt>
                <c:pt idx="1">
                  <c:v>54</c:v>
                </c:pt>
                <c:pt idx="2">
                  <c:v>62</c:v>
                </c:pt>
                <c:pt idx="3">
                  <c:v>68</c:v>
                </c:pt>
                <c:pt idx="4">
                  <c:v>54</c:v>
                </c:pt>
                <c:pt idx="5">
                  <c:v>62</c:v>
                </c:pt>
                <c:pt idx="6" formatCode="#,##0">
                  <c:v>74</c:v>
                </c:pt>
                <c:pt idx="7" formatCode="#,##0">
                  <c:v>68</c:v>
                </c:pt>
                <c:pt idx="8">
                  <c:v>73</c:v>
                </c:pt>
                <c:pt idx="9">
                  <c:v>78</c:v>
                </c:pt>
                <c:pt idx="10">
                  <c:v>82</c:v>
                </c:pt>
                <c:pt idx="11">
                  <c:v>81</c:v>
                </c:pt>
                <c:pt idx="12">
                  <c:v>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5-4426-809F-2627CFF1F254}"/>
            </c:ext>
          </c:extLst>
        </c:ser>
        <c:ser>
          <c:idx val="1"/>
          <c:order val="1"/>
          <c:tx>
            <c:strRef>
              <c:f>'INTERCORRENCIAS SEG'!$L$4:$L$5</c:f>
              <c:strCache>
                <c:ptCount val="2"/>
                <c:pt idx="0">
                  <c:v>INTERCORRÊNCIAS</c:v>
                </c:pt>
                <c:pt idx="1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67000"/>
                    <a:satMod val="105000"/>
                    <a:lumMod val="110000"/>
                  </a:schemeClr>
                </a:gs>
                <a:gs pos="50000">
                  <a:schemeClr val="accent2">
                    <a:tint val="73000"/>
                    <a:satMod val="103000"/>
                    <a:lumMod val="105000"/>
                  </a:schemeClr>
                </a:gs>
                <a:gs pos="100000">
                  <a:schemeClr val="accent2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'INTERCORRENCIAS SEG'!$D$6:$D$18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'INTERCORRENCIAS SEG'!$L$6:$L$18</c:f>
              <c:numCache>
                <c:formatCode>General</c:formatCode>
                <c:ptCount val="13"/>
                <c:pt idx="0">
                  <c:v>58</c:v>
                </c:pt>
                <c:pt idx="1">
                  <c:v>84</c:v>
                </c:pt>
                <c:pt idx="2">
                  <c:v>77</c:v>
                </c:pt>
                <c:pt idx="3">
                  <c:v>71</c:v>
                </c:pt>
                <c:pt idx="4">
                  <c:v>65</c:v>
                </c:pt>
                <c:pt idx="5">
                  <c:v>54</c:v>
                </c:pt>
                <c:pt idx="6" formatCode="#,##0">
                  <c:v>51</c:v>
                </c:pt>
                <c:pt idx="7" formatCode="#,##0">
                  <c:v>58</c:v>
                </c:pt>
                <c:pt idx="8">
                  <c:v>61</c:v>
                </c:pt>
                <c:pt idx="9">
                  <c:v>62</c:v>
                </c:pt>
                <c:pt idx="10">
                  <c:v>54</c:v>
                </c:pt>
                <c:pt idx="11">
                  <c:v>68</c:v>
                </c:pt>
                <c:pt idx="12">
                  <c:v>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05-4426-809F-2627CFF1F254}"/>
            </c:ext>
          </c:extLst>
        </c:ser>
        <c:ser>
          <c:idx val="2"/>
          <c:order val="2"/>
          <c:tx>
            <c:strRef>
              <c:f>'INTERCORRENCIAS SEG'!$M$4:$M$5</c:f>
              <c:strCache>
                <c:ptCount val="2"/>
                <c:pt idx="0">
                  <c:v>INTERCORRÊNCIAS</c:v>
                </c:pt>
                <c:pt idx="1">
                  <c:v>2026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67000"/>
                    <a:satMod val="105000"/>
                    <a:lumMod val="110000"/>
                  </a:schemeClr>
                </a:gs>
                <a:gs pos="50000">
                  <a:schemeClr val="accent3">
                    <a:tint val="73000"/>
                    <a:satMod val="103000"/>
                    <a:lumMod val="105000"/>
                  </a:schemeClr>
                </a:gs>
                <a:gs pos="100000">
                  <a:schemeClr val="accent3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'INTERCORRENCIAS SEG'!$D$6:$D$18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'INTERCORRENCIAS SEG'!$M$6:$M$18</c:f>
              <c:numCache>
                <c:formatCode>General</c:formatCode>
                <c:ptCount val="13"/>
                <c:pt idx="0">
                  <c:v>42</c:v>
                </c:pt>
                <c:pt idx="1">
                  <c:v>38</c:v>
                </c:pt>
                <c:pt idx="1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05-4426-809F-2627CFF1F2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60054255"/>
        <c:axId val="1366171935"/>
      </c:barChart>
      <c:catAx>
        <c:axId val="136005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6171935"/>
        <c:crosses val="autoZero"/>
        <c:auto val="1"/>
        <c:lblAlgn val="ctr"/>
        <c:lblOffset val="100"/>
        <c:noMultiLvlLbl val="0"/>
      </c:catAx>
      <c:valAx>
        <c:axId val="136617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005425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2918521025287391"/>
          <c:y val="0.94215024480408238"/>
          <c:w val="0.75852366448932507"/>
          <c:h val="3.6798724469465242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6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endParaRPr lang="pt-BR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6.7349365350185472E-2"/>
          <c:y val="0.15367408338270841"/>
          <c:w val="0.90915238808027521"/>
          <c:h val="0.607630340669001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'INTERCORRENCIAS SEG'!$E$4:$E$5</c:f>
              <c:strCache>
                <c:ptCount val="2"/>
                <c:pt idx="0">
                  <c:v>FURTO / EXTRAVIOS</c:v>
                </c:pt>
                <c:pt idx="1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7000"/>
                    <a:satMod val="105000"/>
                    <a:lumMod val="110000"/>
                  </a:schemeClr>
                </a:gs>
                <a:gs pos="50000">
                  <a:schemeClr val="accent1">
                    <a:tint val="73000"/>
                    <a:satMod val="103000"/>
                    <a:lumMod val="105000"/>
                  </a:schemeClr>
                </a:gs>
                <a:gs pos="100000">
                  <a:schemeClr val="accent1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'INTERCORRENCIAS SEG'!$D$6:$D$18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'INTERCORRENCIAS SEG'!$E$6:$E$18</c:f>
              <c:numCache>
                <c:formatCode>General</c:formatCode>
                <c:ptCount val="13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 formatCode="#,##0">
                  <c:v>2</c:v>
                </c:pt>
                <c:pt idx="7" formatCode="#,##0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4E-4CCA-8490-3496EB63D242}"/>
            </c:ext>
          </c:extLst>
        </c:ser>
        <c:ser>
          <c:idx val="1"/>
          <c:order val="1"/>
          <c:tx>
            <c:strRef>
              <c:f>'INTERCORRENCIAS SEG'!$F$4:$F$5</c:f>
              <c:strCache>
                <c:ptCount val="2"/>
                <c:pt idx="0">
                  <c:v>FURTO / EXTRAVIOS</c:v>
                </c:pt>
                <c:pt idx="1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67000"/>
                    <a:satMod val="105000"/>
                    <a:lumMod val="110000"/>
                  </a:schemeClr>
                </a:gs>
                <a:gs pos="50000">
                  <a:schemeClr val="accent2">
                    <a:tint val="73000"/>
                    <a:satMod val="103000"/>
                    <a:lumMod val="105000"/>
                  </a:schemeClr>
                </a:gs>
                <a:gs pos="100000">
                  <a:schemeClr val="accent2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'INTERCORRENCIAS SEG'!$D$6:$D$18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'INTERCORRENCIAS SEG'!$F$6:$F$18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 formatCode="#,##0">
                  <c:v>0</c:v>
                </c:pt>
                <c:pt idx="7" formatCode="#,##0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4E-4CCA-8490-3496EB63D242}"/>
            </c:ext>
          </c:extLst>
        </c:ser>
        <c:ser>
          <c:idx val="2"/>
          <c:order val="2"/>
          <c:tx>
            <c:strRef>
              <c:f>'INTERCORRENCIAS SEG'!$G$4:$G$5</c:f>
              <c:strCache>
                <c:ptCount val="2"/>
                <c:pt idx="0">
                  <c:v>FURTO / EXTRAVIOS</c:v>
                </c:pt>
                <c:pt idx="1">
                  <c:v>2026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67000"/>
                    <a:satMod val="105000"/>
                    <a:lumMod val="110000"/>
                  </a:schemeClr>
                </a:gs>
                <a:gs pos="50000">
                  <a:schemeClr val="accent3">
                    <a:tint val="73000"/>
                    <a:satMod val="103000"/>
                    <a:lumMod val="105000"/>
                  </a:schemeClr>
                </a:gs>
                <a:gs pos="100000">
                  <a:schemeClr val="accent3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'INTERCORRENCIAS SEG'!$D$6:$D$18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'INTERCORRENCIAS SEG'!$G$6:$G$18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4E-4CCA-8490-3496EB63D242}"/>
            </c:ext>
          </c:extLst>
        </c:ser>
        <c:ser>
          <c:idx val="3"/>
          <c:order val="3"/>
          <c:tx>
            <c:strRef>
              <c:f>'INTERCORRENCIAS SEG'!$H$4:$H$5</c:f>
              <c:strCache>
                <c:ptCount val="2"/>
                <c:pt idx="0">
                  <c:v>ESCOLTA POLICIAL</c:v>
                </c:pt>
                <c:pt idx="1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7000"/>
                    <a:satMod val="105000"/>
                    <a:lumMod val="110000"/>
                  </a:schemeClr>
                </a:gs>
                <a:gs pos="50000">
                  <a:schemeClr val="accent4">
                    <a:tint val="73000"/>
                    <a:satMod val="103000"/>
                    <a:lumMod val="105000"/>
                  </a:schemeClr>
                </a:gs>
                <a:gs pos="100000">
                  <a:schemeClr val="accent4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'INTERCORRENCIAS SEG'!$D$6:$D$18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'INTERCORRENCIAS SEG'!$H$6:$H$18</c:f>
              <c:numCache>
                <c:formatCode>General</c:formatCode>
                <c:ptCount val="13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 formatCode="#,##0">
                  <c:v>2</c:v>
                </c:pt>
                <c:pt idx="7" formatCode="#,##0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4E-4CCA-8490-3496EB63D242}"/>
            </c:ext>
          </c:extLst>
        </c:ser>
        <c:ser>
          <c:idx val="4"/>
          <c:order val="4"/>
          <c:tx>
            <c:strRef>
              <c:f>'INTERCORRENCIAS SEG'!$I$4:$I$5</c:f>
              <c:strCache>
                <c:ptCount val="2"/>
                <c:pt idx="0">
                  <c:v>ESCOLTA POLICIAL</c:v>
                </c:pt>
                <c:pt idx="1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67000"/>
                    <a:satMod val="105000"/>
                    <a:lumMod val="110000"/>
                  </a:schemeClr>
                </a:gs>
                <a:gs pos="50000">
                  <a:schemeClr val="accent5">
                    <a:tint val="73000"/>
                    <a:satMod val="103000"/>
                    <a:lumMod val="105000"/>
                  </a:schemeClr>
                </a:gs>
                <a:gs pos="100000">
                  <a:schemeClr val="accent5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'INTERCORRENCIAS SEG'!$D$6:$D$18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'INTERCORRENCIAS SEG'!$I$6:$I$18</c:f>
              <c:numCache>
                <c:formatCode>General</c:formatCode>
                <c:ptCount val="13"/>
                <c:pt idx="0">
                  <c:v>4</c:v>
                </c:pt>
                <c:pt idx="1">
                  <c:v>7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 formatCode="#,##0">
                  <c:v>2</c:v>
                </c:pt>
                <c:pt idx="7" formatCode="#,##0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4E-4CCA-8490-3496EB63D242}"/>
            </c:ext>
          </c:extLst>
        </c:ser>
        <c:ser>
          <c:idx val="5"/>
          <c:order val="5"/>
          <c:tx>
            <c:strRef>
              <c:f>'INTERCORRENCIAS SEG'!$J$4:$J$5</c:f>
              <c:strCache>
                <c:ptCount val="2"/>
                <c:pt idx="0">
                  <c:v>ESCOLTA POLICIAL</c:v>
                </c:pt>
                <c:pt idx="1">
                  <c:v>2026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67000"/>
                    <a:satMod val="105000"/>
                    <a:lumMod val="110000"/>
                  </a:schemeClr>
                </a:gs>
                <a:gs pos="50000">
                  <a:schemeClr val="accent6">
                    <a:tint val="73000"/>
                    <a:satMod val="103000"/>
                    <a:lumMod val="105000"/>
                  </a:schemeClr>
                </a:gs>
                <a:gs pos="100000">
                  <a:schemeClr val="accent6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'INTERCORRENCIAS SEG'!$D$6:$D$18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'INTERCORRENCIAS SEG'!$J$6:$J$18</c:f>
              <c:numCache>
                <c:formatCode>General</c:formatCode>
                <c:ptCount val="13"/>
                <c:pt idx="0">
                  <c:v>4</c:v>
                </c:pt>
                <c:pt idx="1">
                  <c:v>3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4E-4CCA-8490-3496EB63D2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00543999"/>
        <c:axId val="1366126303"/>
      </c:barChart>
      <c:catAx>
        <c:axId val="150054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pt-BR"/>
          </a:p>
        </c:txPr>
        <c:crossAx val="1366126303"/>
        <c:crosses val="autoZero"/>
        <c:auto val="1"/>
        <c:lblAlgn val="ctr"/>
        <c:lblOffset val="100"/>
        <c:noMultiLvlLbl val="0"/>
      </c:catAx>
      <c:valAx>
        <c:axId val="136612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0543999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3030737630509631"/>
          <c:y val="0.88907763045584198"/>
          <c:w val="0.71001224870042567"/>
          <c:h val="9.1419737840608223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7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pt-BR" sz="1400" b="0" strike="noStrike" spc="-1">
                <a:solidFill>
                  <a:srgbClr val="595959"/>
                </a:solidFill>
                <a:latin typeface="Calibri"/>
              </a:rPr>
              <a:t>Título do gráfico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view3D>
      <c:rotX val="15"/>
      <c:rotY val="20"/>
      <c:rAngAx val="1"/>
    </c:view3D>
    <c:floor>
      <c:thickness val="0"/>
      <c:spPr>
        <a:noFill/>
        <a:ln w="9360">
          <a:noFill/>
          <a:prstDash val="solid"/>
        </a:ln>
      </c:spPr>
    </c:floor>
    <c:sideWall>
      <c:thickness val="0"/>
      <c:spPr>
        <a:noFill/>
        <a:ln w="9360">
          <a:noFill/>
          <a:prstDash val="solid"/>
        </a:ln>
      </c:spPr>
    </c:sideWall>
    <c:backWall>
      <c:thickness val="0"/>
      <c:spPr>
        <a:noFill/>
        <a:ln w="9360">
          <a:noFill/>
          <a:prstDash val="solid"/>
        </a:ln>
      </c:spPr>
    </c:backWall>
    <c:plotArea>
      <c:layout>
        <c:manualLayout>
          <c:layoutTarget val="inner"/>
          <c:xMode val="edge"/>
          <c:yMode val="edge"/>
          <c:x val="3.7709490563676673E-2"/>
          <c:y val="0.13757791629563701"/>
          <c:w val="0.88366968773492871"/>
          <c:h val="0.77607853697441642"/>
        </c:manualLayout>
      </c:layout>
      <c:bar3DChart>
        <c:barDir val="col"/>
        <c:grouping val="clustered"/>
        <c:varyColors val="0"/>
        <c:ser>
          <c:idx val="0"/>
          <c:order val="0"/>
          <c:tx>
            <c:v>Ano 2022</c:v>
          </c:tx>
          <c:spPr>
            <a:ln>
              <a:prstDash val="solid"/>
            </a:ln>
          </c:spPr>
          <c:invertIfNegative val="0"/>
          <c:cat>
            <c:strRef>
              <c:f>EVASÃO!$B$7:$B$19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EVASÃO!#REF!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E-4B42-889D-1FB51E0CBBDF}"/>
            </c:ext>
          </c:extLst>
        </c:ser>
        <c:ser>
          <c:idx val="1"/>
          <c:order val="1"/>
          <c:tx>
            <c:v>Ano 2023</c:v>
          </c:tx>
          <c:spPr>
            <a:solidFill>
              <a:srgbClr val="C0504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wrap="square"/>
              <a:lstStyle/>
              <a:p>
                <a:pPr>
                  <a:defRPr sz="6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EVASÃO!$B$7:$B$19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EVASÃO!$D$7:$D$19</c:f>
              <c:numCache>
                <c:formatCode>General</c:formatCode>
                <c:ptCount val="13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6</c:v>
                </c:pt>
                <c:pt idx="6" formatCode="#,##0">
                  <c:v>6</c:v>
                </c:pt>
                <c:pt idx="7" formatCode="#,##0">
                  <c:v>4</c:v>
                </c:pt>
                <c:pt idx="8" formatCode="#,##0">
                  <c:v>4</c:v>
                </c:pt>
                <c:pt idx="9" formatCode="#,##0">
                  <c:v>2</c:v>
                </c:pt>
                <c:pt idx="10" formatCode="#,##0">
                  <c:v>5</c:v>
                </c:pt>
                <c:pt idx="11" formatCode="#,##0">
                  <c:v>4</c:v>
                </c:pt>
                <c:pt idx="12" formatCode="#,##0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EE-4B42-889D-1FB51E0CBBDF}"/>
            </c:ext>
          </c:extLst>
        </c:ser>
        <c:ser>
          <c:idx val="2"/>
          <c:order val="2"/>
          <c:tx>
            <c:v>Ano 2024</c:v>
          </c:tx>
          <c:spPr>
            <a:solidFill>
              <a:srgbClr val="9BBB59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wrap="square"/>
              <a:lstStyle/>
              <a:p>
                <a:pPr>
                  <a:defRPr sz="5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EVASÃO!$B$7:$B$19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EVASÃO!$E$7:$E$19</c:f>
              <c:numCache>
                <c:formatCode>General</c:formatCode>
                <c:ptCount val="13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1</c:v>
                </c:pt>
                <c:pt idx="5">
                  <c:v>4</c:v>
                </c:pt>
                <c:pt idx="6" formatCode="#,##0">
                  <c:v>3</c:v>
                </c:pt>
                <c:pt idx="7" formatCode="#,##0">
                  <c:v>0</c:v>
                </c:pt>
                <c:pt idx="8" formatCode="#,##0">
                  <c:v>1</c:v>
                </c:pt>
                <c:pt idx="9" formatCode="#,##0">
                  <c:v>2</c:v>
                </c:pt>
                <c:pt idx="10" formatCode="#,##0">
                  <c:v>3</c:v>
                </c:pt>
                <c:pt idx="11" formatCode="#,##0">
                  <c:v>2</c:v>
                </c:pt>
                <c:pt idx="12" formatCode="#,##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EE-4B42-889D-1FB51E0CBBDF}"/>
            </c:ext>
          </c:extLst>
        </c:ser>
        <c:ser>
          <c:idx val="3"/>
          <c:order val="3"/>
          <c:tx>
            <c:v>Ano 2025</c:v>
          </c:tx>
          <c:spPr>
            <a:solidFill>
              <a:srgbClr val="8064A2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wrap="square"/>
              <a:lstStyle/>
              <a:p>
                <a:pPr>
                  <a:defRPr sz="6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EVASÃO!$B$7:$B$19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EVASÃO!$F$7:$F$19</c:f>
              <c:numCache>
                <c:formatCode>General</c:formatCode>
                <c:ptCount val="13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2</c:v>
                </c:pt>
                <c:pt idx="6" formatCode="#,##0">
                  <c:v>2</c:v>
                </c:pt>
                <c:pt idx="7" formatCode="#,##0">
                  <c:v>6</c:v>
                </c:pt>
                <c:pt idx="8" formatCode="#,##0">
                  <c:v>4</c:v>
                </c:pt>
                <c:pt idx="9" formatCode="#,##0">
                  <c:v>4</c:v>
                </c:pt>
                <c:pt idx="10" formatCode="#,##0">
                  <c:v>2</c:v>
                </c:pt>
                <c:pt idx="11" formatCode="#,##0">
                  <c:v>2</c:v>
                </c:pt>
                <c:pt idx="12" formatCode="#,##0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EE-4B42-889D-1FB51E0CBBDF}"/>
            </c:ext>
          </c:extLst>
        </c:ser>
        <c:ser>
          <c:idx val="4"/>
          <c:order val="4"/>
          <c:tx>
            <c:v>Ano 2026</c:v>
          </c:tx>
          <c:spPr>
            <a:solidFill>
              <a:srgbClr val="4BACC6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wrap="square"/>
              <a:lstStyle/>
              <a:p>
                <a:pPr>
                  <a:defRPr sz="6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EVASÃO!$B$7:$B$19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EVASÃO!$H$7:$H$19</c:f>
              <c:numCache>
                <c:formatCode>General</c:formatCode>
                <c:ptCount val="13"/>
                <c:pt idx="0">
                  <c:v>3</c:v>
                </c:pt>
                <c:pt idx="1">
                  <c:v>1</c:v>
                </c:pt>
                <c:pt idx="12" formatCode="#,##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EE-4B42-889D-1FB51E0CB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78649"/>
        <c:axId val="86108973"/>
        <c:axId val="0"/>
      </c:bar3DChart>
      <c:catAx>
        <c:axId val="101786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86108973"/>
        <c:crosses val="autoZero"/>
        <c:auto val="1"/>
        <c:lblAlgn val="ctr"/>
        <c:lblOffset val="100"/>
        <c:noMultiLvlLbl val="0"/>
      </c:catAx>
      <c:valAx>
        <c:axId val="8610897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178649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9100757850509219"/>
          <c:y val="0.42225350557579772"/>
          <c:w val="6.692521162592649E-2"/>
          <c:h val="0.20759633432703989"/>
        </c:manualLayout>
      </c:layout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pt-BR" sz="1400" b="0" strike="noStrike" spc="-1">
                <a:solidFill>
                  <a:srgbClr val="595959"/>
                </a:solidFill>
                <a:latin typeface="Calibri"/>
              </a:rPr>
              <a:t>Título do gráfico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view3D>
      <c:rotX val="15"/>
      <c:rotY val="20"/>
      <c:rAngAx val="1"/>
    </c:view3D>
    <c:floor>
      <c:thickness val="0"/>
      <c:spPr>
        <a:noFill/>
        <a:ln w="9360">
          <a:noFill/>
          <a:prstDash val="solid"/>
        </a:ln>
      </c:spPr>
    </c:floor>
    <c:sideWall>
      <c:thickness val="0"/>
      <c:spPr>
        <a:noFill/>
        <a:ln w="9360">
          <a:noFill/>
          <a:prstDash val="solid"/>
        </a:ln>
      </c:spPr>
    </c:sideWall>
    <c:backWall>
      <c:thickness val="0"/>
      <c:spPr>
        <a:noFill/>
        <a:ln w="9360">
          <a:noFill/>
          <a:prstDash val="solid"/>
        </a:ln>
      </c:spPr>
    </c:backWall>
    <c:plotArea>
      <c:layout>
        <c:manualLayout>
          <c:layoutTarget val="inner"/>
          <c:xMode val="edge"/>
          <c:yMode val="edge"/>
          <c:x val="8.01275499775152E-2"/>
          <c:y val="0.198297372669896"/>
          <c:w val="0.89571154082008098"/>
          <c:h val="0.58549831205049196"/>
        </c:manualLayout>
      </c:layout>
      <c:bar3DChart>
        <c:barDir val="col"/>
        <c:grouping val="clustered"/>
        <c:varyColors val="0"/>
        <c:ser>
          <c:idx val="0"/>
          <c:order val="0"/>
          <c:tx>
            <c:v>2023</c:v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wrap="square"/>
              <a:lstStyle/>
              <a:p>
                <a:pPr>
                  <a:defRPr sz="6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VISITAS!$B$5:$B$17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VISITAS!$C$5:$C$17</c:f>
              <c:numCache>
                <c:formatCode>#,##0</c:formatCode>
                <c:ptCount val="13"/>
                <c:pt idx="0">
                  <c:v>7298</c:v>
                </c:pt>
                <c:pt idx="1">
                  <c:v>7289</c:v>
                </c:pt>
                <c:pt idx="2">
                  <c:v>7952</c:v>
                </c:pt>
                <c:pt idx="3">
                  <c:v>8728</c:v>
                </c:pt>
                <c:pt idx="4">
                  <c:v>8283</c:v>
                </c:pt>
                <c:pt idx="5">
                  <c:v>8883</c:v>
                </c:pt>
                <c:pt idx="6">
                  <c:v>9543</c:v>
                </c:pt>
                <c:pt idx="7">
                  <c:v>9754</c:v>
                </c:pt>
                <c:pt idx="8">
                  <c:v>9098</c:v>
                </c:pt>
                <c:pt idx="9">
                  <c:v>9541</c:v>
                </c:pt>
                <c:pt idx="10">
                  <c:v>11609</c:v>
                </c:pt>
                <c:pt idx="11">
                  <c:v>10796</c:v>
                </c:pt>
                <c:pt idx="12">
                  <c:v>108774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1-460C-9399-AAB2012D0CE8}"/>
            </c:ext>
          </c:extLst>
        </c:ser>
        <c:ser>
          <c:idx val="1"/>
          <c:order val="1"/>
          <c:tx>
            <c:v>2024</c:v>
          </c:tx>
          <c:spPr>
            <a:solidFill>
              <a:srgbClr val="C0504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wrap="square"/>
              <a:lstStyle/>
              <a:p>
                <a:pPr>
                  <a:defRPr sz="6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VISITAS!$B$5:$B$17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VISITAS!$D$5:$D$17</c:f>
              <c:numCache>
                <c:formatCode>#,##0</c:formatCode>
                <c:ptCount val="13"/>
                <c:pt idx="0">
                  <c:v>11097</c:v>
                </c:pt>
                <c:pt idx="1">
                  <c:v>10132</c:v>
                </c:pt>
                <c:pt idx="2">
                  <c:v>10825</c:v>
                </c:pt>
                <c:pt idx="3">
                  <c:v>10846</c:v>
                </c:pt>
                <c:pt idx="4">
                  <c:v>11431</c:v>
                </c:pt>
                <c:pt idx="5">
                  <c:v>11299</c:v>
                </c:pt>
                <c:pt idx="6">
                  <c:v>10787</c:v>
                </c:pt>
                <c:pt idx="7">
                  <c:v>10468</c:v>
                </c:pt>
                <c:pt idx="8">
                  <c:v>10133</c:v>
                </c:pt>
                <c:pt idx="9">
                  <c:v>10485</c:v>
                </c:pt>
                <c:pt idx="10">
                  <c:v>9862</c:v>
                </c:pt>
                <c:pt idx="11">
                  <c:v>10256</c:v>
                </c:pt>
                <c:pt idx="12">
                  <c:v>127621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51-460C-9399-AAB2012D0CE8}"/>
            </c:ext>
          </c:extLst>
        </c:ser>
        <c:ser>
          <c:idx val="2"/>
          <c:order val="2"/>
          <c:tx>
            <c:v>2025</c:v>
          </c:tx>
          <c:spPr>
            <a:solidFill>
              <a:srgbClr val="9BBB59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wrap="square"/>
              <a:lstStyle/>
              <a:p>
                <a:pPr>
                  <a:defRPr sz="6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VISITAS!$B$5:$B$17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VISITAS!$E$5:$E$17</c:f>
              <c:numCache>
                <c:formatCode>#,##0</c:formatCode>
                <c:ptCount val="13"/>
                <c:pt idx="0">
                  <c:v>9405</c:v>
                </c:pt>
                <c:pt idx="1">
                  <c:v>8874</c:v>
                </c:pt>
                <c:pt idx="2">
                  <c:v>10353</c:v>
                </c:pt>
                <c:pt idx="3">
                  <c:v>11200</c:v>
                </c:pt>
                <c:pt idx="4">
                  <c:v>12089</c:v>
                </c:pt>
                <c:pt idx="5">
                  <c:v>10960</c:v>
                </c:pt>
                <c:pt idx="6">
                  <c:v>11358</c:v>
                </c:pt>
                <c:pt idx="7">
                  <c:v>9982</c:v>
                </c:pt>
                <c:pt idx="8">
                  <c:v>10074</c:v>
                </c:pt>
                <c:pt idx="9">
                  <c:v>11258</c:v>
                </c:pt>
                <c:pt idx="10">
                  <c:v>10056</c:v>
                </c:pt>
                <c:pt idx="11">
                  <c:v>10459</c:v>
                </c:pt>
                <c:pt idx="12">
                  <c:v>126068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51-460C-9399-AAB2012D0CE8}"/>
            </c:ext>
          </c:extLst>
        </c:ser>
        <c:ser>
          <c:idx val="3"/>
          <c:order val="3"/>
          <c:tx>
            <c:v>2026</c:v>
          </c:tx>
          <c:spPr>
            <a:solidFill>
              <a:srgbClr val="8064A2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wrap="square"/>
              <a:lstStyle/>
              <a:p>
                <a:pPr>
                  <a:defRPr sz="6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VISITAS!$B$5:$B$17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VISITAS!$F$5:$F$17</c:f>
              <c:numCache>
                <c:formatCode>#,##0</c:formatCode>
                <c:ptCount val="13"/>
                <c:pt idx="0">
                  <c:v>10036</c:v>
                </c:pt>
                <c:pt idx="1">
                  <c:v>10348</c:v>
                </c:pt>
                <c:pt idx="12">
                  <c:v>20384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51-460C-9399-AAB2012D0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0609516"/>
        <c:axId val="26936700"/>
        <c:axId val="0"/>
      </c:bar3DChart>
      <c:catAx>
        <c:axId val="406095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26936700"/>
        <c:crosses val="autoZero"/>
        <c:auto val="1"/>
        <c:lblAlgn val="ctr"/>
        <c:lblOffset val="100"/>
        <c:noMultiLvlLbl val="0"/>
      </c:catAx>
      <c:valAx>
        <c:axId val="269367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4060951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909626057805269"/>
          <c:y val="0.9012785857111375"/>
          <c:w val="0.62749943851584711"/>
          <c:h val="9.6153681349441106E-2"/>
        </c:manualLayout>
      </c:layout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pt-BR" sz="1400" b="0" strike="noStrike" spc="-1">
                <a:solidFill>
                  <a:srgbClr val="595959"/>
                </a:solidFill>
                <a:latin typeface="Calibri"/>
              </a:rPr>
              <a:t>Título do gráfico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view3D>
      <c:rotX val="15"/>
      <c:rotY val="20"/>
      <c:rAngAx val="1"/>
    </c:view3D>
    <c:floor>
      <c:thickness val="0"/>
      <c:spPr>
        <a:noFill/>
        <a:ln w="9360">
          <a:noFill/>
          <a:prstDash val="solid"/>
        </a:ln>
      </c:spPr>
    </c:floor>
    <c:sideWall>
      <c:thickness val="0"/>
      <c:spPr>
        <a:noFill/>
        <a:ln w="9360">
          <a:noFill/>
          <a:prstDash val="solid"/>
        </a:ln>
      </c:spPr>
    </c:sideWall>
    <c:backWall>
      <c:thickness val="0"/>
      <c:spPr>
        <a:noFill/>
        <a:ln w="9360">
          <a:noFill/>
          <a:prstDash val="solid"/>
        </a:ln>
      </c:spPr>
    </c:backWall>
    <c:plotArea>
      <c:layout>
        <c:manualLayout>
          <c:layoutTarget val="inner"/>
          <c:xMode val="edge"/>
          <c:yMode val="edge"/>
          <c:x val="5.2999705410155702E-2"/>
          <c:y val="0.12901714460191741"/>
          <c:w val="0.92476058445719844"/>
          <c:h val="0.7606586622118716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VISITAS!$J$4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wrap="square"/>
              <a:lstStyle/>
              <a:p>
                <a:pPr>
                  <a:defRPr sz="6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VISITAS!$I$5:$I$17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VISITAS!$J$5:$J$17</c:f>
              <c:numCache>
                <c:formatCode>#,##0</c:formatCode>
                <c:ptCount val="13"/>
                <c:pt idx="0">
                  <c:v>8068</c:v>
                </c:pt>
                <c:pt idx="1">
                  <c:v>7091</c:v>
                </c:pt>
                <c:pt idx="2">
                  <c:v>8884</c:v>
                </c:pt>
                <c:pt idx="3">
                  <c:v>9036</c:v>
                </c:pt>
                <c:pt idx="4">
                  <c:v>9394</c:v>
                </c:pt>
                <c:pt idx="5">
                  <c:v>9415</c:v>
                </c:pt>
                <c:pt idx="6">
                  <c:v>9644</c:v>
                </c:pt>
                <c:pt idx="7">
                  <c:v>9797</c:v>
                </c:pt>
                <c:pt idx="8">
                  <c:v>8497</c:v>
                </c:pt>
                <c:pt idx="9">
                  <c:v>8523</c:v>
                </c:pt>
                <c:pt idx="10">
                  <c:v>9394</c:v>
                </c:pt>
                <c:pt idx="11">
                  <c:v>9173</c:v>
                </c:pt>
                <c:pt idx="12">
                  <c:v>106916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6-4789-B94D-A63D01FA5998}"/>
            </c:ext>
          </c:extLst>
        </c:ser>
        <c:ser>
          <c:idx val="1"/>
          <c:order val="1"/>
          <c:tx>
            <c:strRef>
              <c:f>VISITAS!$K$4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C0504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wrap="square"/>
              <a:lstStyle/>
              <a:p>
                <a:pPr>
                  <a:defRPr sz="6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VISITAS!$I$5:$I$17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VISITAS!$K$5:$K$17</c:f>
              <c:numCache>
                <c:formatCode>#,##0</c:formatCode>
                <c:ptCount val="13"/>
                <c:pt idx="0">
                  <c:v>9651</c:v>
                </c:pt>
                <c:pt idx="1">
                  <c:v>8723</c:v>
                </c:pt>
                <c:pt idx="2">
                  <c:v>9829</c:v>
                </c:pt>
                <c:pt idx="3">
                  <c:v>11531</c:v>
                </c:pt>
                <c:pt idx="4">
                  <c:v>11794</c:v>
                </c:pt>
                <c:pt idx="5">
                  <c:v>11376</c:v>
                </c:pt>
                <c:pt idx="6">
                  <c:v>11416</c:v>
                </c:pt>
                <c:pt idx="7">
                  <c:v>11498</c:v>
                </c:pt>
                <c:pt idx="8">
                  <c:v>10910</c:v>
                </c:pt>
                <c:pt idx="9">
                  <c:v>12172</c:v>
                </c:pt>
                <c:pt idx="10">
                  <c:v>10411</c:v>
                </c:pt>
                <c:pt idx="11">
                  <c:v>8905</c:v>
                </c:pt>
                <c:pt idx="12">
                  <c:v>128216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D6-4789-B94D-A63D01FA5998}"/>
            </c:ext>
          </c:extLst>
        </c:ser>
        <c:ser>
          <c:idx val="2"/>
          <c:order val="2"/>
          <c:tx>
            <c:strRef>
              <c:f>VISITAS!$L$4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9BBB59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wrap="square"/>
              <a:lstStyle/>
              <a:p>
                <a:pPr>
                  <a:defRPr sz="6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VISITAS!$I$5:$I$17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VISITAS!$L$5:$L$17</c:f>
              <c:numCache>
                <c:formatCode>#,##0</c:formatCode>
                <c:ptCount val="13"/>
                <c:pt idx="0">
                  <c:v>10336</c:v>
                </c:pt>
                <c:pt idx="1">
                  <c:v>9796</c:v>
                </c:pt>
                <c:pt idx="2">
                  <c:v>11575</c:v>
                </c:pt>
                <c:pt idx="3">
                  <c:v>10589</c:v>
                </c:pt>
                <c:pt idx="4">
                  <c:v>11045</c:v>
                </c:pt>
                <c:pt idx="5">
                  <c:v>10984</c:v>
                </c:pt>
                <c:pt idx="6">
                  <c:v>11450</c:v>
                </c:pt>
                <c:pt idx="7">
                  <c:v>12023</c:v>
                </c:pt>
                <c:pt idx="8">
                  <c:v>10863</c:v>
                </c:pt>
                <c:pt idx="9">
                  <c:v>11986</c:v>
                </c:pt>
                <c:pt idx="10">
                  <c:v>10842</c:v>
                </c:pt>
                <c:pt idx="11">
                  <c:v>10985</c:v>
                </c:pt>
                <c:pt idx="12">
                  <c:v>132474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D6-4789-B94D-A63D01FA5998}"/>
            </c:ext>
          </c:extLst>
        </c:ser>
        <c:ser>
          <c:idx val="3"/>
          <c:order val="3"/>
          <c:tx>
            <c:strRef>
              <c:f>VISITAS!$M$4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8064A2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wrap="square"/>
              <a:lstStyle/>
              <a:p>
                <a:pPr>
                  <a:defRPr sz="6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VISITAS!$I$5:$I$17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VISITAS!$M$5:$M$17</c:f>
              <c:numCache>
                <c:formatCode>#,##0</c:formatCode>
                <c:ptCount val="13"/>
                <c:pt idx="0">
                  <c:v>9558</c:v>
                </c:pt>
                <c:pt idx="1">
                  <c:v>10147</c:v>
                </c:pt>
                <c:pt idx="12">
                  <c:v>19705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D6-4789-B94D-A63D01FA5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375204"/>
        <c:axId val="50109879"/>
        <c:axId val="0"/>
      </c:bar3DChart>
      <c:catAx>
        <c:axId val="73752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50109879"/>
        <c:crosses val="autoZero"/>
        <c:auto val="1"/>
        <c:lblAlgn val="ctr"/>
        <c:lblOffset val="100"/>
        <c:noMultiLvlLbl val="0"/>
      </c:catAx>
      <c:valAx>
        <c:axId val="5010987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73752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5267291439277249"/>
          <c:y val="0.93644005944850117"/>
          <c:w val="0.32718866108690131"/>
          <c:h val="5.8972675686760907E-2"/>
        </c:manualLayout>
      </c:layout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pt-BR" sz="1400" b="0" strike="noStrike" spc="-1">
                <a:solidFill>
                  <a:srgbClr val="595959"/>
                </a:solidFill>
                <a:latin typeface="Calibri"/>
              </a:rPr>
              <a:t>Título do gráfico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view3D>
      <c:rotX val="15"/>
      <c:rotY val="20"/>
      <c:rAngAx val="1"/>
    </c:view3D>
    <c:floor>
      <c:thickness val="0"/>
      <c:spPr>
        <a:noFill/>
        <a:ln w="9360">
          <a:noFill/>
          <a:prstDash val="solid"/>
        </a:ln>
      </c:spPr>
    </c:floor>
    <c:sideWall>
      <c:thickness val="0"/>
      <c:spPr>
        <a:noFill/>
        <a:ln w="9360">
          <a:noFill/>
          <a:prstDash val="solid"/>
        </a:ln>
      </c:spPr>
    </c:sideWall>
    <c:backWall>
      <c:thickness val="0"/>
      <c:spPr>
        <a:noFill/>
        <a:ln w="9360">
          <a:noFill/>
          <a:prstDash val="solid"/>
        </a:ln>
      </c:spPr>
    </c:backWall>
    <c:plotArea>
      <c:layout>
        <c:manualLayout>
          <c:layoutTarget val="inner"/>
          <c:xMode val="edge"/>
          <c:yMode val="edge"/>
          <c:x val="6.2845303867403293E-2"/>
          <c:y val="0.11884426676358401"/>
          <c:w val="0.91054931052147714"/>
          <c:h val="0.66207430978404636"/>
        </c:manualLayout>
      </c:layout>
      <c:bar3DChart>
        <c:barDir val="col"/>
        <c:grouping val="clustered"/>
        <c:varyColors val="0"/>
        <c:ser>
          <c:idx val="0"/>
          <c:order val="0"/>
          <c:tx>
            <c:v>FAB 2024</c:v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wrap="square"/>
              <a:lstStyle/>
              <a:p>
                <a:pPr>
                  <a:defRPr sz="6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'FAB FAF '!$B$5:$B$17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'FAB FAF '!$C$5:$C$17</c:f>
              <c:numCache>
                <c:formatCode>#,##0</c:formatCode>
                <c:ptCount val="13"/>
                <c:pt idx="0">
                  <c:v>5</c:v>
                </c:pt>
                <c:pt idx="1">
                  <c:v>6</c:v>
                </c:pt>
                <c:pt idx="2">
                  <c:v>15</c:v>
                </c:pt>
                <c:pt idx="3" formatCode="General">
                  <c:v>5</c:v>
                </c:pt>
                <c:pt idx="4" formatCode="General">
                  <c:v>6</c:v>
                </c:pt>
                <c:pt idx="5" formatCode="General">
                  <c:v>3</c:v>
                </c:pt>
                <c:pt idx="6">
                  <c:v>3</c:v>
                </c:pt>
                <c:pt idx="7">
                  <c:v>0</c:v>
                </c:pt>
                <c:pt idx="8">
                  <c:v>6</c:v>
                </c:pt>
                <c:pt idx="9">
                  <c:v>3</c:v>
                </c:pt>
                <c:pt idx="10">
                  <c:v>6</c:v>
                </c:pt>
                <c:pt idx="11">
                  <c:v>10</c:v>
                </c:pt>
                <c:pt idx="12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42-464C-8653-221C9BEEEA88}"/>
            </c:ext>
          </c:extLst>
        </c:ser>
        <c:ser>
          <c:idx val="1"/>
          <c:order val="1"/>
          <c:tx>
            <c:strRef>
              <c:f>'FAB FAF '!$D$3:$D$4</c:f>
              <c:strCache>
                <c:ptCount val="2"/>
                <c:pt idx="0">
                  <c:v>FAB</c:v>
                </c:pt>
                <c:pt idx="1">
                  <c:v>2025</c:v>
                </c:pt>
              </c:strCache>
            </c:strRef>
          </c:tx>
          <c:spPr>
            <a:solidFill>
              <a:srgbClr val="C0504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wrap="square"/>
              <a:lstStyle/>
              <a:p>
                <a:pPr>
                  <a:defRPr sz="6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'FAB FAF '!$B$5:$B$17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'FAB FAF '!$D$5:$D$17</c:f>
              <c:numCache>
                <c:formatCode>#,##0</c:formatCode>
                <c:ptCount val="13"/>
                <c:pt idx="0">
                  <c:v>5</c:v>
                </c:pt>
                <c:pt idx="1">
                  <c:v>8</c:v>
                </c:pt>
                <c:pt idx="2">
                  <c:v>3</c:v>
                </c:pt>
                <c:pt idx="3" formatCode="General">
                  <c:v>1</c:v>
                </c:pt>
                <c:pt idx="4" formatCode="General">
                  <c:v>2</c:v>
                </c:pt>
                <c:pt idx="5" formatCode="General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8</c:v>
                </c:pt>
                <c:pt idx="1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42-464C-8653-221C9BEEEA88}"/>
            </c:ext>
          </c:extLst>
        </c:ser>
        <c:ser>
          <c:idx val="2"/>
          <c:order val="2"/>
          <c:tx>
            <c:strRef>
              <c:f>'FAB FAF '!$E$3:$E$4</c:f>
              <c:strCache>
                <c:ptCount val="2"/>
                <c:pt idx="0">
                  <c:v>FAB</c:v>
                </c:pt>
                <c:pt idx="1">
                  <c:v>2026</c:v>
                </c:pt>
              </c:strCache>
            </c:strRef>
          </c:tx>
          <c:spPr>
            <a:solidFill>
              <a:srgbClr val="9BBB59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wrap="square"/>
              <a:lstStyle/>
              <a:p>
                <a:pPr>
                  <a:defRPr sz="6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'FAB FAF '!$B$5:$B$17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'FAB FAF '!$E$5:$E$17</c:f>
              <c:numCache>
                <c:formatCode>#,##0</c:formatCode>
                <c:ptCount val="13"/>
                <c:pt idx="0">
                  <c:v>3</c:v>
                </c:pt>
                <c:pt idx="1">
                  <c:v>7</c:v>
                </c:pt>
                <c:pt idx="1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42-464C-8653-221C9BEEEA88}"/>
            </c:ext>
          </c:extLst>
        </c:ser>
        <c:ser>
          <c:idx val="3"/>
          <c:order val="3"/>
          <c:tx>
            <c:strRef>
              <c:f>'FAB FAF '!$F$3:$F$4</c:f>
              <c:strCache>
                <c:ptCount val="2"/>
                <c:pt idx="0">
                  <c:v>FAF</c:v>
                </c:pt>
                <c:pt idx="1">
                  <c:v>2024</c:v>
                </c:pt>
              </c:strCache>
            </c:strRef>
          </c:tx>
          <c:spPr>
            <a:solidFill>
              <a:srgbClr val="4BACC6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wrap="square"/>
              <a:lstStyle/>
              <a:p>
                <a:pPr>
                  <a:defRPr sz="6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'FAB FAF '!$B$5:$B$17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'FAB FAF '!$F$5:$F$17</c:f>
              <c:numCache>
                <c:formatCode>#,##0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 formatCode="General">
                  <c:v>3</c:v>
                </c:pt>
                <c:pt idx="4" formatCode="General">
                  <c:v>7</c:v>
                </c:pt>
                <c:pt idx="5" formatCode="General">
                  <c:v>4</c:v>
                </c:pt>
                <c:pt idx="6">
                  <c:v>4</c:v>
                </c:pt>
                <c:pt idx="7">
                  <c:v>6</c:v>
                </c:pt>
                <c:pt idx="8">
                  <c:v>5</c:v>
                </c:pt>
                <c:pt idx="9" formatCode="General">
                  <c:v>9</c:v>
                </c:pt>
                <c:pt idx="10" formatCode="General">
                  <c:v>4</c:v>
                </c:pt>
                <c:pt idx="11">
                  <c:v>6</c:v>
                </c:pt>
                <c:pt idx="1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42-464C-8653-221C9BEEEA88}"/>
            </c:ext>
          </c:extLst>
        </c:ser>
        <c:ser>
          <c:idx val="4"/>
          <c:order val="4"/>
          <c:tx>
            <c:strRef>
              <c:f>'FAB FAF '!$G$3:$G$4</c:f>
              <c:strCache>
                <c:ptCount val="2"/>
                <c:pt idx="0">
                  <c:v>FAF</c:v>
                </c:pt>
                <c:pt idx="1">
                  <c:v>2025</c:v>
                </c:pt>
              </c:strCache>
            </c:strRef>
          </c:tx>
          <c:spPr>
            <a:solidFill>
              <a:srgbClr val="F79646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wrap="square"/>
              <a:lstStyle/>
              <a:p>
                <a:pPr>
                  <a:defRPr sz="6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'FAB FAF '!$B$5:$B$17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'FAB FAF '!$G$5:$G$17</c:f>
              <c:numCache>
                <c:formatCode>#,##0</c:formatCode>
                <c:ptCount val="13"/>
                <c:pt idx="0">
                  <c:v>6</c:v>
                </c:pt>
                <c:pt idx="1">
                  <c:v>3</c:v>
                </c:pt>
                <c:pt idx="2">
                  <c:v>6</c:v>
                </c:pt>
                <c:pt idx="3" formatCode="General">
                  <c:v>2</c:v>
                </c:pt>
                <c:pt idx="4" formatCode="General">
                  <c:v>2</c:v>
                </c:pt>
                <c:pt idx="5" formatCode="General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 formatCode="General">
                  <c:v>5</c:v>
                </c:pt>
                <c:pt idx="10" formatCode="General">
                  <c:v>4</c:v>
                </c:pt>
                <c:pt idx="11">
                  <c:v>3</c:v>
                </c:pt>
                <c:pt idx="1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42-464C-8653-221C9BEEEA88}"/>
            </c:ext>
          </c:extLst>
        </c:ser>
        <c:ser>
          <c:idx val="5"/>
          <c:order val="5"/>
          <c:tx>
            <c:strRef>
              <c:f>'FAB FAF '!$H$3:$H$4</c:f>
              <c:strCache>
                <c:ptCount val="2"/>
                <c:pt idx="0">
                  <c:v>FAF</c:v>
                </c:pt>
                <c:pt idx="1">
                  <c:v>2026</c:v>
                </c:pt>
              </c:strCache>
            </c:strRef>
          </c:tx>
          <c:spPr>
            <a:solidFill>
              <a:srgbClr val="2C4D75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wrap="square"/>
              <a:lstStyle/>
              <a:p>
                <a:pPr>
                  <a:defRPr sz="6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'FAB FAF '!$B$5:$B$17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'FAB FAF '!$H$5:$H$17</c:f>
              <c:numCache>
                <c:formatCode>#,##0</c:formatCode>
                <c:ptCount val="13"/>
                <c:pt idx="0">
                  <c:v>5</c:v>
                </c:pt>
                <c:pt idx="1">
                  <c:v>2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442-464C-8653-221C9BEEE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0831887"/>
        <c:axId val="47854743"/>
        <c:axId val="0"/>
      </c:bar3DChart>
      <c:catAx>
        <c:axId val="608318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47854743"/>
        <c:crosses val="autoZero"/>
        <c:auto val="1"/>
        <c:lblAlgn val="ctr"/>
        <c:lblOffset val="100"/>
        <c:noMultiLvlLbl val="0"/>
      </c:catAx>
      <c:valAx>
        <c:axId val="4785474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60831887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view3D>
      <c:rotX val="15"/>
      <c:rotY val="20"/>
      <c:rAngAx val="1"/>
    </c:view3D>
    <c:floor>
      <c:thickness val="0"/>
      <c:spPr>
        <a:noFill/>
        <a:ln>
          <a:noFill/>
          <a:prstDash val="solid"/>
        </a:ln>
        <a:sp3d/>
      </c:spPr>
    </c:floor>
    <c:sideWall>
      <c:thickness val="0"/>
      <c:spPr>
        <a:noFill/>
        <a:ln>
          <a:noFill/>
          <a:prstDash val="solid"/>
        </a:ln>
        <a:sp3d/>
      </c:spPr>
    </c:sideWall>
    <c:backWall>
      <c:thickness val="0"/>
      <c:spPr>
        <a:noFill/>
        <a:ln>
          <a:noFill/>
          <a:prstDash val="solid"/>
        </a:ln>
        <a:sp3d/>
      </c:spPr>
    </c:backWall>
    <c:plotArea>
      <c:layout>
        <c:manualLayout>
          <c:layoutTarget val="inner"/>
          <c:xMode val="edge"/>
          <c:yMode val="edge"/>
          <c:x val="7.8634764932666051E-2"/>
          <c:y val="4.1169229699252442E-2"/>
          <c:w val="0.89100339891736258"/>
          <c:h val="0.73964543774502245"/>
        </c:manualLayout>
      </c:layout>
      <c:bar3DChart>
        <c:barDir val="col"/>
        <c:grouping val="clustered"/>
        <c:varyColors val="0"/>
        <c:ser>
          <c:idx val="0"/>
          <c:order val="0"/>
          <c:tx>
            <c:v>Apreensão (armas) 2025</c:v>
          </c:tx>
          <c:spPr>
            <a:solidFill>
              <a:schemeClr val="accent5">
                <a:lumMod val="50000"/>
              </a:schemeClr>
            </a:solidFill>
            <a:ln>
              <a:noFill/>
              <a:prstDash val="solid"/>
            </a:ln>
            <a:sp3d/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APREENSÕES!$C$7:$C$19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APREENSÕES!$E$7:$E$19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 formatCode="#,##0">
                  <c:v>1</c:v>
                </c:pt>
                <c:pt idx="7" formatCode="#,##0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B-4EAB-A3C7-736C5A8D38BC}"/>
            </c:ext>
          </c:extLst>
        </c:ser>
        <c:ser>
          <c:idx val="1"/>
          <c:order val="1"/>
          <c:tx>
            <c:v>Apreensão (armas) 2026</c:v>
          </c:tx>
          <c:spPr>
            <a:solidFill>
              <a:schemeClr val="accent2"/>
            </a:solidFill>
            <a:ln>
              <a:noFill/>
              <a:prstDash val="solid"/>
            </a:ln>
            <a:sp3d/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APREENSÕES!$C$7:$C$19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APREENSÕES!$F$7:$F$19</c:f>
              <c:numCache>
                <c:formatCode>General</c:formatCode>
                <c:ptCount val="13"/>
                <c:pt idx="0">
                  <c:v>2</c:v>
                </c:pt>
                <c:pt idx="1">
                  <c:v>1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6B-4EAB-A3C7-736C5A8D38BC}"/>
            </c:ext>
          </c:extLst>
        </c:ser>
        <c:ser>
          <c:idx val="2"/>
          <c:order val="2"/>
          <c:tx>
            <c:v>Drogas (tabaco, entorpecentes 2025)</c:v>
          </c:tx>
          <c:spPr>
            <a:solidFill>
              <a:schemeClr val="accent4"/>
            </a:solidFill>
            <a:ln>
              <a:noFill/>
              <a:prstDash val="solid"/>
            </a:ln>
            <a:sp3d/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APREENSÕES!$C$7:$C$19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APREENSÕES!$I$7:$I$19</c:f>
              <c:numCache>
                <c:formatCode>General</c:formatCode>
                <c:ptCount val="13"/>
                <c:pt idx="0">
                  <c:v>12</c:v>
                </c:pt>
                <c:pt idx="1">
                  <c:v>18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25</c:v>
                </c:pt>
                <c:pt idx="6" formatCode="#,##0">
                  <c:v>27</c:v>
                </c:pt>
                <c:pt idx="7" formatCode="#,##0">
                  <c:v>22</c:v>
                </c:pt>
                <c:pt idx="8">
                  <c:v>18</c:v>
                </c:pt>
                <c:pt idx="9">
                  <c:v>19</c:v>
                </c:pt>
                <c:pt idx="10">
                  <c:v>21</c:v>
                </c:pt>
                <c:pt idx="11">
                  <c:v>28</c:v>
                </c:pt>
                <c:pt idx="1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6B-4EAB-A3C7-736C5A8D38BC}"/>
            </c:ext>
          </c:extLst>
        </c:ser>
        <c:ser>
          <c:idx val="3"/>
          <c:order val="3"/>
          <c:tx>
            <c:v>Drogas (tabaco, entorpecentes 2026</c:v>
          </c:tx>
          <c:spPr>
            <a:solidFill>
              <a:schemeClr val="accent5"/>
            </a:solidFill>
            <a:ln>
              <a:noFill/>
              <a:prstDash val="solid"/>
            </a:ln>
            <a:sp3d/>
          </c:spPr>
          <c:invertIfNegative val="0"/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C06B-4EAB-A3C7-736C5A8D38B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APREENSÕES!$C$7:$C$19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APREENSÕES!$J$7:$J$19</c:f>
              <c:numCache>
                <c:formatCode>General</c:formatCode>
                <c:ptCount val="13"/>
                <c:pt idx="0">
                  <c:v>18</c:v>
                </c:pt>
                <c:pt idx="1">
                  <c:v>15</c:v>
                </c:pt>
                <c:pt idx="1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6B-4EAB-A3C7-736C5A8D3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33694192"/>
        <c:axId val="933697072"/>
        <c:axId val="0"/>
      </c:bar3DChart>
      <c:catAx>
        <c:axId val="93369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3697072"/>
        <c:crosses val="autoZero"/>
        <c:auto val="1"/>
        <c:lblAlgn val="ctr"/>
        <c:lblOffset val="100"/>
        <c:noMultiLvlLbl val="0"/>
      </c:catAx>
      <c:valAx>
        <c:axId val="93369707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36941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300631244442646"/>
          <c:y val="0.91241503482113107"/>
          <c:w val="0.70399122310385764"/>
          <c:h val="6.2927133669459012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7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pt-BR" sz="1400" b="0" strike="noStrike" spc="-1">
                <a:solidFill>
                  <a:srgbClr val="595959"/>
                </a:solidFill>
                <a:latin typeface="Calibri"/>
              </a:rPr>
              <a:t>Título do gráfico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view3D>
      <c:rotX val="15"/>
      <c:rotY val="20"/>
      <c:rAngAx val="1"/>
    </c:view3D>
    <c:floor>
      <c:thickness val="0"/>
      <c:spPr>
        <a:noFill/>
        <a:ln w="9360">
          <a:noFill/>
          <a:prstDash val="solid"/>
        </a:ln>
      </c:spPr>
    </c:floor>
    <c:sideWall>
      <c:thickness val="0"/>
      <c:spPr>
        <a:noFill/>
        <a:ln w="9360">
          <a:noFill/>
          <a:prstDash val="solid"/>
        </a:ln>
      </c:spPr>
    </c:sideWall>
    <c:backWall>
      <c:thickness val="0"/>
      <c:spPr>
        <a:noFill/>
        <a:ln w="9360">
          <a:noFill/>
          <a:prstDash val="solid"/>
        </a:ln>
      </c:spPr>
    </c:backWall>
    <c:plotArea>
      <c:layout>
        <c:manualLayout>
          <c:layoutTarget val="inner"/>
          <c:xMode val="edge"/>
          <c:yMode val="edge"/>
          <c:x val="6.1937041508032302E-2"/>
          <c:y val="0.13106116187554201"/>
          <c:w val="0.90639799424273404"/>
          <c:h val="0.74448075768692101"/>
        </c:manualLayout>
      </c:layout>
      <c:bar3DChart>
        <c:barDir val="col"/>
        <c:grouping val="clustered"/>
        <c:varyColors val="0"/>
        <c:ser>
          <c:idx val="0"/>
          <c:order val="0"/>
          <c:tx>
            <c:v>2022</c:v>
          </c:tx>
          <c:spPr>
            <a:solidFill>
              <a:srgbClr val="4299B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wrap="square"/>
              <a:lstStyle/>
              <a:p>
                <a:pPr>
                  <a:defRPr sz="6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MORGUE!$B$5:$B$17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 Anual</c:v>
                </c:pt>
              </c:strCache>
            </c:strRef>
          </c:cat>
          <c:val>
            <c:numRef>
              <c:f>MORGUE!$C$5:$C$17</c:f>
              <c:numCache>
                <c:formatCode>General</c:formatCode>
                <c:ptCount val="13"/>
                <c:pt idx="0">
                  <c:v>150</c:v>
                </c:pt>
                <c:pt idx="1">
                  <c:v>162</c:v>
                </c:pt>
                <c:pt idx="2">
                  <c:v>157</c:v>
                </c:pt>
                <c:pt idx="3">
                  <c:v>134</c:v>
                </c:pt>
                <c:pt idx="4">
                  <c:v>153</c:v>
                </c:pt>
                <c:pt idx="5">
                  <c:v>149</c:v>
                </c:pt>
                <c:pt idx="6" formatCode="#,##0">
                  <c:v>148</c:v>
                </c:pt>
                <c:pt idx="7" formatCode="#,##0">
                  <c:v>136</c:v>
                </c:pt>
                <c:pt idx="8" formatCode="#,##0">
                  <c:v>132</c:v>
                </c:pt>
                <c:pt idx="9" formatCode="#,##0">
                  <c:v>128</c:v>
                </c:pt>
                <c:pt idx="10" formatCode="#,##0">
                  <c:v>126</c:v>
                </c:pt>
                <c:pt idx="11" formatCode="#,##0">
                  <c:v>126</c:v>
                </c:pt>
                <c:pt idx="12" formatCode="#,##0">
                  <c:v>1701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2-4A51-8D3F-09CC288BC5FD}"/>
            </c:ext>
          </c:extLst>
        </c:ser>
        <c:ser>
          <c:idx val="1"/>
          <c:order val="1"/>
          <c:tx>
            <c:v>2023</c:v>
          </c:tx>
          <c:spPr>
            <a:solidFill>
              <a:srgbClr val="E46C0A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wrap="square"/>
              <a:lstStyle/>
              <a:p>
                <a:pPr>
                  <a:defRPr sz="6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MORGUE!$B$5:$B$17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 Anual</c:v>
                </c:pt>
              </c:strCache>
            </c:strRef>
          </c:cat>
          <c:val>
            <c:numRef>
              <c:f>MORGUE!$D$5:$D$17</c:f>
              <c:numCache>
                <c:formatCode>General</c:formatCode>
                <c:ptCount val="13"/>
                <c:pt idx="0">
                  <c:v>109</c:v>
                </c:pt>
                <c:pt idx="1">
                  <c:v>96</c:v>
                </c:pt>
                <c:pt idx="2">
                  <c:v>127</c:v>
                </c:pt>
                <c:pt idx="3">
                  <c:v>127</c:v>
                </c:pt>
                <c:pt idx="4">
                  <c:v>126</c:v>
                </c:pt>
                <c:pt idx="5">
                  <c:v>118</c:v>
                </c:pt>
                <c:pt idx="6">
                  <c:v>127</c:v>
                </c:pt>
                <c:pt idx="7">
                  <c:v>148</c:v>
                </c:pt>
                <c:pt idx="8">
                  <c:v>144</c:v>
                </c:pt>
                <c:pt idx="9">
                  <c:v>138</c:v>
                </c:pt>
                <c:pt idx="10">
                  <c:v>136</c:v>
                </c:pt>
                <c:pt idx="11">
                  <c:v>155</c:v>
                </c:pt>
                <c:pt idx="12" formatCode="#,##0">
                  <c:v>1551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42-4A51-8D3F-09CC288BC5FD}"/>
            </c:ext>
          </c:extLst>
        </c:ser>
        <c:ser>
          <c:idx val="2"/>
          <c:order val="2"/>
          <c:tx>
            <c:v>2024</c:v>
          </c:tx>
          <c:spPr>
            <a:solidFill>
              <a:srgbClr val="93A9CE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wrap="square"/>
              <a:lstStyle/>
              <a:p>
                <a:pPr>
                  <a:defRPr sz="6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MORGUE!$B$5:$B$17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 Anual</c:v>
                </c:pt>
              </c:strCache>
            </c:strRef>
          </c:cat>
          <c:val>
            <c:numRef>
              <c:f>MORGUE!$E$5:$E$17</c:f>
              <c:numCache>
                <c:formatCode>General</c:formatCode>
                <c:ptCount val="13"/>
                <c:pt idx="0">
                  <c:v>128</c:v>
                </c:pt>
                <c:pt idx="1">
                  <c:v>132</c:v>
                </c:pt>
                <c:pt idx="2">
                  <c:v>151</c:v>
                </c:pt>
                <c:pt idx="3">
                  <c:v>137</c:v>
                </c:pt>
                <c:pt idx="4">
                  <c:v>145</c:v>
                </c:pt>
                <c:pt idx="5">
                  <c:v>143</c:v>
                </c:pt>
                <c:pt idx="6">
                  <c:v>142</c:v>
                </c:pt>
                <c:pt idx="7">
                  <c:v>134</c:v>
                </c:pt>
                <c:pt idx="8">
                  <c:v>129</c:v>
                </c:pt>
                <c:pt idx="9">
                  <c:v>129</c:v>
                </c:pt>
                <c:pt idx="10">
                  <c:v>135</c:v>
                </c:pt>
                <c:pt idx="11">
                  <c:v>137</c:v>
                </c:pt>
                <c:pt idx="12" formatCode="#,##0">
                  <c:v>1642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42-4A51-8D3F-09CC288BC5FD}"/>
            </c:ext>
          </c:extLst>
        </c:ser>
        <c:ser>
          <c:idx val="3"/>
          <c:order val="3"/>
          <c:tx>
            <c:v>2025</c:v>
          </c:tx>
          <c:spPr>
            <a:solidFill>
              <a:srgbClr val="00206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wrap="square"/>
              <a:lstStyle/>
              <a:p>
                <a:pPr>
                  <a:defRPr sz="6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MORGUE!$B$5:$B$17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 Anual</c:v>
                </c:pt>
              </c:strCache>
            </c:strRef>
          </c:cat>
          <c:val>
            <c:numRef>
              <c:f>MORGUE!$F$5:$F$17</c:f>
              <c:numCache>
                <c:formatCode>General</c:formatCode>
                <c:ptCount val="13"/>
                <c:pt idx="0">
                  <c:v>132</c:v>
                </c:pt>
                <c:pt idx="1">
                  <c:v>140</c:v>
                </c:pt>
                <c:pt idx="2">
                  <c:v>119</c:v>
                </c:pt>
                <c:pt idx="3">
                  <c:v>130</c:v>
                </c:pt>
                <c:pt idx="4">
                  <c:v>154</c:v>
                </c:pt>
                <c:pt idx="5">
                  <c:v>171</c:v>
                </c:pt>
                <c:pt idx="6">
                  <c:v>157</c:v>
                </c:pt>
                <c:pt idx="7">
                  <c:v>119</c:v>
                </c:pt>
                <c:pt idx="8">
                  <c:v>130</c:v>
                </c:pt>
                <c:pt idx="9">
                  <c:v>116</c:v>
                </c:pt>
                <c:pt idx="10">
                  <c:v>143</c:v>
                </c:pt>
                <c:pt idx="11">
                  <c:v>140</c:v>
                </c:pt>
                <c:pt idx="12" formatCode="#,##0">
                  <c:v>1651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42-4A51-8D3F-09CC288BC5FD}"/>
            </c:ext>
          </c:extLst>
        </c:ser>
        <c:ser>
          <c:idx val="4"/>
          <c:order val="4"/>
          <c:tx>
            <c:v>2026</c:v>
          </c:tx>
          <c:spPr>
            <a:solidFill>
              <a:srgbClr val="4672A8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wrap="square"/>
              <a:lstStyle/>
              <a:p>
                <a:pPr>
                  <a:defRPr sz="6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MORGUE!$B$5:$B$17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 Anual</c:v>
                </c:pt>
              </c:strCache>
            </c:strRef>
          </c:cat>
          <c:val>
            <c:numRef>
              <c:f>MORGUE!$G$5:$G$17</c:f>
              <c:numCache>
                <c:formatCode>General</c:formatCode>
                <c:ptCount val="13"/>
                <c:pt idx="0">
                  <c:v>137</c:v>
                </c:pt>
                <c:pt idx="1">
                  <c:v>129</c:v>
                </c:pt>
                <c:pt idx="12" formatCode="#,##0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42-4A51-8D3F-09CC288BC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4408024"/>
        <c:axId val="14585958"/>
        <c:axId val="0"/>
      </c:bar3DChart>
      <c:catAx>
        <c:axId val="444080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5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4585958"/>
        <c:crosses val="autoZero"/>
        <c:auto val="1"/>
        <c:lblAlgn val="ctr"/>
        <c:lblOffset val="100"/>
        <c:noMultiLvlLbl val="0"/>
      </c:catAx>
      <c:valAx>
        <c:axId val="1458595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4440802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4362402032156801"/>
          <c:y val="0.93293732016391318"/>
          <c:w val="0.62497255285047904"/>
          <c:h val="3.5295878036762249E-2"/>
        </c:manualLayout>
      </c:layout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595959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view3D>
      <c:rotX val="15"/>
      <c:rotY val="20"/>
      <c:rAngAx val="1"/>
    </c:view3D>
    <c:floor>
      <c:thickness val="0"/>
      <c:spPr>
        <a:noFill/>
        <a:ln w="9360">
          <a:noFill/>
          <a:prstDash val="solid"/>
        </a:ln>
      </c:spPr>
    </c:floor>
    <c:sideWall>
      <c:thickness val="0"/>
      <c:spPr>
        <a:noFill/>
        <a:ln w="9360">
          <a:noFill/>
          <a:prstDash val="solid"/>
        </a:ln>
      </c:spPr>
    </c:sideWall>
    <c:backWall>
      <c:thickness val="0"/>
      <c:spPr>
        <a:noFill/>
        <a:ln w="9360">
          <a:noFill/>
          <a:prstDash val="solid"/>
        </a:ln>
      </c:spPr>
    </c:backWall>
    <c:plotArea>
      <c:layout>
        <c:manualLayout>
          <c:layoutTarget val="inner"/>
          <c:xMode val="edge"/>
          <c:yMode val="edge"/>
          <c:x val="7.3039852020277116E-2"/>
          <c:y val="0.1945081367885064"/>
          <c:w val="0.8953903043181376"/>
          <c:h val="0.7063801240993447"/>
        </c:manualLayout>
      </c:layout>
      <c:bar3DChart>
        <c:barDir val="col"/>
        <c:grouping val="clustered"/>
        <c:varyColors val="0"/>
        <c:ser>
          <c:idx val="0"/>
          <c:order val="0"/>
          <c:tx>
            <c:v>Ambulâncias 2024</c:v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vert="horz" wrap="square" lIns="38100" tIns="19050" rIns="38100" bIns="19050" anchor="t" anchorCtr="0">
                <a:spAutoFit/>
              </a:bodyPr>
              <a:lstStyle/>
              <a:p>
                <a:pPr>
                  <a:defRPr sz="600">
                    <a:latin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PATIO!$B$7:$B$19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PATIO!$F$7:$F$19</c:f>
              <c:numCache>
                <c:formatCode>#,##0</c:formatCode>
                <c:ptCount val="13"/>
                <c:pt idx="0">
                  <c:v>1341</c:v>
                </c:pt>
                <c:pt idx="1">
                  <c:v>1255</c:v>
                </c:pt>
                <c:pt idx="2">
                  <c:v>1173</c:v>
                </c:pt>
                <c:pt idx="3">
                  <c:v>1245</c:v>
                </c:pt>
                <c:pt idx="4">
                  <c:v>1268</c:v>
                </c:pt>
                <c:pt idx="5">
                  <c:v>1143</c:v>
                </c:pt>
                <c:pt idx="6">
                  <c:v>1156</c:v>
                </c:pt>
                <c:pt idx="7">
                  <c:v>980</c:v>
                </c:pt>
                <c:pt idx="8">
                  <c:v>875</c:v>
                </c:pt>
                <c:pt idx="9">
                  <c:v>897</c:v>
                </c:pt>
                <c:pt idx="10">
                  <c:v>923</c:v>
                </c:pt>
                <c:pt idx="11">
                  <c:v>1205</c:v>
                </c:pt>
                <c:pt idx="12">
                  <c:v>13461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F-4533-A5DD-A1382CC29143}"/>
            </c:ext>
          </c:extLst>
        </c:ser>
        <c:ser>
          <c:idx val="1"/>
          <c:order val="1"/>
          <c:tx>
            <c:v>Outros 2024</c:v>
          </c:tx>
          <c:spPr>
            <a:solidFill>
              <a:srgbClr val="C0504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600">
                    <a:latin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PATIO!$B$7:$B$19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PATIO!$G$7:$G$19</c:f>
              <c:numCache>
                <c:formatCode>General</c:formatCode>
                <c:ptCount val="13"/>
                <c:pt idx="0">
                  <c:v>708</c:v>
                </c:pt>
                <c:pt idx="1">
                  <c:v>615</c:v>
                </c:pt>
                <c:pt idx="2">
                  <c:v>547</c:v>
                </c:pt>
                <c:pt idx="3">
                  <c:v>659</c:v>
                </c:pt>
                <c:pt idx="4">
                  <c:v>613</c:v>
                </c:pt>
                <c:pt idx="5">
                  <c:v>601</c:v>
                </c:pt>
                <c:pt idx="6">
                  <c:v>629</c:v>
                </c:pt>
                <c:pt idx="7">
                  <c:v>695</c:v>
                </c:pt>
                <c:pt idx="8">
                  <c:v>715</c:v>
                </c:pt>
                <c:pt idx="9">
                  <c:v>702</c:v>
                </c:pt>
                <c:pt idx="10">
                  <c:v>755</c:v>
                </c:pt>
                <c:pt idx="11">
                  <c:v>742</c:v>
                </c:pt>
                <c:pt idx="12" formatCode="#,##0">
                  <c:v>7981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F-4533-A5DD-A1382CC29143}"/>
            </c:ext>
          </c:extLst>
        </c:ser>
        <c:ser>
          <c:idx val="2"/>
          <c:order val="2"/>
          <c:tx>
            <c:v>Total Geral 2024</c:v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600">
                    <a:latin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PATIO!$B$7:$B$19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PATIO!$H$7:$H$19</c:f>
              <c:numCache>
                <c:formatCode>#,##0</c:formatCode>
                <c:ptCount val="13"/>
                <c:pt idx="0">
                  <c:v>2049</c:v>
                </c:pt>
                <c:pt idx="1">
                  <c:v>1870</c:v>
                </c:pt>
                <c:pt idx="2">
                  <c:v>1720</c:v>
                </c:pt>
                <c:pt idx="3">
                  <c:v>1904</c:v>
                </c:pt>
                <c:pt idx="4">
                  <c:v>1881</c:v>
                </c:pt>
                <c:pt idx="5">
                  <c:v>1744</c:v>
                </c:pt>
                <c:pt idx="6">
                  <c:v>1785</c:v>
                </c:pt>
                <c:pt idx="7">
                  <c:v>1675</c:v>
                </c:pt>
                <c:pt idx="8">
                  <c:v>1590</c:v>
                </c:pt>
                <c:pt idx="9">
                  <c:v>1599</c:v>
                </c:pt>
                <c:pt idx="10">
                  <c:v>1678</c:v>
                </c:pt>
                <c:pt idx="11">
                  <c:v>1947</c:v>
                </c:pt>
                <c:pt idx="12">
                  <c:v>21442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F-4533-A5DD-A1382CC29143}"/>
            </c:ext>
          </c:extLst>
        </c:ser>
        <c:ser>
          <c:idx val="3"/>
          <c:order val="3"/>
          <c:tx>
            <c:v>Ambulâncias 2025</c:v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600">
                    <a:latin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PATIO!$B$7:$B$19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PATIO!$I$7:$I$19</c:f>
              <c:numCache>
                <c:formatCode>#,##0</c:formatCode>
                <c:ptCount val="13"/>
                <c:pt idx="0">
                  <c:v>1341</c:v>
                </c:pt>
                <c:pt idx="1">
                  <c:v>1098</c:v>
                </c:pt>
                <c:pt idx="12">
                  <c:v>2439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5F-4533-A5DD-A1382CC29143}"/>
            </c:ext>
          </c:extLst>
        </c:ser>
        <c:ser>
          <c:idx val="4"/>
          <c:order val="4"/>
          <c:tx>
            <c:v>Outros Veículos 2025</c:v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600">
                    <a:latin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PATIO!$B$7:$B$19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PATIO!$J$7:$J$19</c:f>
              <c:numCache>
                <c:formatCode>General</c:formatCode>
                <c:ptCount val="13"/>
                <c:pt idx="0">
                  <c:v>708</c:v>
                </c:pt>
                <c:pt idx="1">
                  <c:v>549</c:v>
                </c:pt>
                <c:pt idx="12" formatCode="#,##0">
                  <c:v>1257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5F-4533-A5DD-A1382CC29143}"/>
            </c:ext>
          </c:extLst>
        </c:ser>
        <c:ser>
          <c:idx val="5"/>
          <c:order val="5"/>
          <c:tx>
            <c:v>Total Geral 2025</c:v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600">
                    <a:latin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PATIO!$B$7:$B$19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PATIO!$K$7:$K$19</c:f>
              <c:numCache>
                <c:formatCode>#,##0</c:formatCode>
                <c:ptCount val="13"/>
                <c:pt idx="0">
                  <c:v>2049</c:v>
                </c:pt>
                <c:pt idx="1">
                  <c:v>1647</c:v>
                </c:pt>
                <c:pt idx="12">
                  <c:v>3696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5F-4533-A5DD-A1382CC291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5371569"/>
        <c:axId val="81407135"/>
        <c:axId val="0"/>
      </c:bar3DChart>
      <c:catAx>
        <c:axId val="853715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7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81407135"/>
        <c:crosses val="autoZero"/>
        <c:auto val="1"/>
        <c:lblAlgn val="ctr"/>
        <c:lblOffset val="100"/>
        <c:noMultiLvlLbl val="0"/>
      </c:catAx>
      <c:valAx>
        <c:axId val="8140713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85371569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4448922344265749"/>
          <c:y val="0.95201226921254278"/>
          <c:w val="0.76883301670590742"/>
          <c:h val="3.9244953852992807E-2"/>
        </c:manualLayout>
      </c:layout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chemeClr val="tx1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endParaRPr lang="pt-BR"/>
          </a:p>
        </c:rich>
      </c:tx>
      <c:overlay val="0"/>
      <c:spPr>
        <a:noFill/>
        <a:ln>
          <a:noFill/>
          <a:prstDash val="solid"/>
        </a:ln>
      </c:spPr>
    </c:title>
    <c:autoTitleDeleted val="0"/>
    <c:view3D>
      <c:rotX val="15"/>
      <c:rotY val="20"/>
      <c:rAngAx val="1"/>
    </c:view3D>
    <c:floor>
      <c:thickness val="0"/>
      <c:spPr>
        <a:noFill/>
        <a:ln>
          <a:noFill/>
          <a:prstDash val="solid"/>
        </a:ln>
        <a:sp3d/>
      </c:spPr>
    </c:floor>
    <c:sideWall>
      <c:thickness val="0"/>
      <c:spPr>
        <a:noFill/>
        <a:ln>
          <a:noFill/>
          <a:prstDash val="solid"/>
        </a:ln>
        <a:sp3d/>
      </c:spPr>
    </c:sideWall>
    <c:backWall>
      <c:thickness val="0"/>
      <c:spPr>
        <a:noFill/>
        <a:ln>
          <a:noFill/>
          <a:prstDash val="solid"/>
        </a:ln>
        <a:sp3d/>
      </c:spPr>
    </c:backWall>
    <c:plotArea>
      <c:layout>
        <c:manualLayout>
          <c:layoutTarget val="inner"/>
          <c:xMode val="edge"/>
          <c:yMode val="edge"/>
          <c:x val="5.0542387767018172E-2"/>
          <c:y val="0.18097222222222231"/>
          <c:w val="0.82676546830405073"/>
          <c:h val="0.74842949412282622"/>
        </c:manualLayout>
      </c:layout>
      <c:bar3DChart>
        <c:barDir val="col"/>
        <c:grouping val="clustered"/>
        <c:varyColors val="0"/>
        <c:ser>
          <c:idx val="0"/>
          <c:order val="0"/>
          <c:tx>
            <c:v>Ano 2026</c:v>
          </c:tx>
          <c:spPr>
            <a:solidFill>
              <a:schemeClr val="accent2"/>
            </a:solidFill>
            <a:ln>
              <a:noFill/>
              <a:prstDash val="solid"/>
            </a:ln>
            <a:sp3d/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'PATIO NUTRI'!$A$6:$A$18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'PATIO NUTRI'!$C$6:$C$18</c:f>
              <c:numCache>
                <c:formatCode>#,##0</c:formatCode>
                <c:ptCount val="13"/>
                <c:pt idx="0">
                  <c:v>275</c:v>
                </c:pt>
                <c:pt idx="1">
                  <c:v>326</c:v>
                </c:pt>
                <c:pt idx="12">
                  <c:v>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4-4885-A96A-103556270222}"/>
            </c:ext>
          </c:extLst>
        </c:ser>
        <c:ser>
          <c:idx val="1"/>
          <c:order val="1"/>
          <c:tx>
            <c:v>Ano 2025</c:v>
          </c:tx>
          <c:spPr>
            <a:solidFill>
              <a:schemeClr val="accent1"/>
            </a:solidFill>
            <a:ln>
              <a:noFill/>
              <a:prstDash val="solid"/>
            </a:ln>
            <a:sp3d/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'PATIO NUTRI'!$A$6:$A$18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Total/Período</c:v>
                </c:pt>
              </c:strCache>
            </c:strRef>
          </c:cat>
          <c:val>
            <c:numRef>
              <c:f>'PATIO NUTRI'!$B$6:$B$18</c:f>
              <c:numCache>
                <c:formatCode>#,##0</c:formatCode>
                <c:ptCount val="13"/>
                <c:pt idx="0">
                  <c:v>143</c:v>
                </c:pt>
                <c:pt idx="1">
                  <c:v>348</c:v>
                </c:pt>
                <c:pt idx="2">
                  <c:v>378</c:v>
                </c:pt>
                <c:pt idx="3">
                  <c:v>345</c:v>
                </c:pt>
                <c:pt idx="4">
                  <c:v>358</c:v>
                </c:pt>
                <c:pt idx="5">
                  <c:v>315</c:v>
                </c:pt>
                <c:pt idx="6">
                  <c:v>302</c:v>
                </c:pt>
                <c:pt idx="7">
                  <c:v>354</c:v>
                </c:pt>
                <c:pt idx="8">
                  <c:v>366</c:v>
                </c:pt>
                <c:pt idx="9">
                  <c:v>345</c:v>
                </c:pt>
                <c:pt idx="10">
                  <c:v>327</c:v>
                </c:pt>
                <c:pt idx="11">
                  <c:v>305</c:v>
                </c:pt>
                <c:pt idx="12">
                  <c:v>3886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B4-4885-A96A-103556270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45086703"/>
        <c:axId val="1045092463"/>
        <c:axId val="0"/>
      </c:bar3DChart>
      <c:catAx>
        <c:axId val="104508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5092463"/>
        <c:crosses val="autoZero"/>
        <c:auto val="1"/>
        <c:lblAlgn val="ctr"/>
        <c:lblOffset val="100"/>
        <c:noMultiLvlLbl val="0"/>
      </c:catAx>
      <c:valAx>
        <c:axId val="104509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5086703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439615</xdr:colOff>
      <xdr:row>0</xdr:row>
      <xdr:rowOff>175845</xdr:rowOff>
    </xdr:from>
    <xdr:to>
      <xdr:col>19</xdr:col>
      <xdr:colOff>14654</xdr:colOff>
      <xdr:row>24</xdr:row>
      <xdr:rowOff>117230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157170</xdr:colOff>
      <xdr:row>0</xdr:row>
      <xdr:rowOff>173931</xdr:rowOff>
    </xdr:from>
    <xdr:to>
      <xdr:col>24</xdr:col>
      <xdr:colOff>560990</xdr:colOff>
      <xdr:row>23</xdr:row>
      <xdr:rowOff>80596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7899</xdr:colOff>
      <xdr:row>1</xdr:row>
      <xdr:rowOff>6322</xdr:rowOff>
    </xdr:from>
    <xdr:to>
      <xdr:col>3</xdr:col>
      <xdr:colOff>762000</xdr:colOff>
      <xdr:row>2</xdr:row>
      <xdr:rowOff>16812</xdr:rowOff>
    </xdr:to>
    <xdr:pic>
      <xdr:nvPicPr>
        <xdr:cNvPr id="16" name="Imagem 3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/>
      </xdr:nvPicPr>
      <xdr:blipFill>
        <a:blip xmlns:r="http://schemas.openxmlformats.org/officeDocument/2006/relationships" r:embed="rId3"/>
        <a:srcRect l="11157" t="29267" r="7186" b="20759"/>
        <a:stretch>
          <a:fillRect/>
        </a:stretch>
      </xdr:blipFill>
      <xdr:spPr>
        <a:xfrm>
          <a:off x="506130" y="248110"/>
          <a:ext cx="754101" cy="428125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457201</xdr:colOff>
      <xdr:row>0</xdr:row>
      <xdr:rowOff>52695</xdr:rowOff>
    </xdr:from>
    <xdr:to>
      <xdr:col>24</xdr:col>
      <xdr:colOff>0</xdr:colOff>
      <xdr:row>26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57240</xdr:colOff>
      <xdr:row>21</xdr:row>
      <xdr:rowOff>66240</xdr:rowOff>
    </xdr:from>
    <xdr:to>
      <xdr:col>13</xdr:col>
      <xdr:colOff>401550</xdr:colOff>
      <xdr:row>51</xdr:row>
      <xdr:rowOff>113758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516959</xdr:colOff>
      <xdr:row>4</xdr:row>
      <xdr:rowOff>190499</xdr:rowOff>
    </xdr:from>
    <xdr:to>
      <xdr:col>33</xdr:col>
      <xdr:colOff>404812</xdr:colOff>
      <xdr:row>52</xdr:row>
      <xdr:rowOff>43756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285749</xdr:colOff>
      <xdr:row>1</xdr:row>
      <xdr:rowOff>28575</xdr:rowOff>
    </xdr:from>
    <xdr:to>
      <xdr:col>2</xdr:col>
      <xdr:colOff>180974</xdr:colOff>
      <xdr:row>2</xdr:row>
      <xdr:rowOff>18720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/>
        <a:srcRect l="11157" t="29267" r="7186" b="20759"/>
        <a:stretch>
          <a:fillRect/>
        </a:stretch>
      </xdr:blipFill>
      <xdr:spPr>
        <a:xfrm>
          <a:off x="285749" y="827210"/>
          <a:ext cx="1170110" cy="459068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422414</xdr:colOff>
      <xdr:row>0</xdr:row>
      <xdr:rowOff>455543</xdr:rowOff>
    </xdr:from>
    <xdr:to>
      <xdr:col>17</xdr:col>
      <xdr:colOff>207066</xdr:colOff>
      <xdr:row>22</xdr:row>
      <xdr:rowOff>7040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8282</xdr:rowOff>
    </xdr:from>
    <xdr:to>
      <xdr:col>2</xdr:col>
      <xdr:colOff>16565</xdr:colOff>
      <xdr:row>2</xdr:row>
      <xdr:rowOff>8282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/>
        <a:srcRect l="11157" t="29267" r="7186" b="20759"/>
        <a:stretch>
          <a:fillRect/>
        </a:stretch>
      </xdr:blipFill>
      <xdr:spPr>
        <a:xfrm>
          <a:off x="579783" y="513521"/>
          <a:ext cx="969065" cy="405848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220266</xdr:colOff>
      <xdr:row>1</xdr:row>
      <xdr:rowOff>11876</xdr:rowOff>
    </xdr:from>
    <xdr:to>
      <xdr:col>18</xdr:col>
      <xdr:colOff>577453</xdr:colOff>
      <xdr:row>22</xdr:row>
      <xdr:rowOff>151208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4723</xdr:colOff>
      <xdr:row>1</xdr:row>
      <xdr:rowOff>17860</xdr:rowOff>
    </xdr:from>
    <xdr:to>
      <xdr:col>2</xdr:col>
      <xdr:colOff>684610</xdr:colOff>
      <xdr:row>1</xdr:row>
      <xdr:rowOff>326128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2"/>
        <a:srcRect l="11157" t="29267" r="7186" b="20759"/>
        <a:stretch>
          <a:fillRect/>
        </a:stretch>
      </xdr:blipFill>
      <xdr:spPr>
        <a:xfrm>
          <a:off x="594082" y="702469"/>
          <a:ext cx="679887" cy="308268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424961</xdr:colOff>
      <xdr:row>1</xdr:row>
      <xdr:rowOff>7328</xdr:rowOff>
    </xdr:from>
    <xdr:to>
      <xdr:col>14</xdr:col>
      <xdr:colOff>461595</xdr:colOff>
      <xdr:row>22</xdr:row>
      <xdr:rowOff>36634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19080</xdr:colOff>
      <xdr:row>1</xdr:row>
      <xdr:rowOff>0</xdr:rowOff>
    </xdr:from>
    <xdr:to>
      <xdr:col>1</xdr:col>
      <xdr:colOff>979200</xdr:colOff>
      <xdr:row>2</xdr:row>
      <xdr:rowOff>37800</xdr:rowOff>
    </xdr:to>
    <xdr:pic>
      <xdr:nvPicPr>
        <xdr:cNvPr id="19" name="Imagem 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/>
      </xdr:nvPicPr>
      <xdr:blipFill>
        <a:blip xmlns:r="http://schemas.openxmlformats.org/officeDocument/2006/relationships" r:embed="rId2"/>
        <a:srcRect l="11157" t="29267" r="7186" b="20759"/>
        <a:stretch>
          <a:fillRect/>
        </a:stretch>
      </xdr:blipFill>
      <xdr:spPr>
        <a:xfrm>
          <a:off x="630720" y="162000"/>
          <a:ext cx="960120" cy="4950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189072</xdr:colOff>
      <xdr:row>1</xdr:row>
      <xdr:rowOff>29245</xdr:rowOff>
    </xdr:from>
    <xdr:to>
      <xdr:col>27</xdr:col>
      <xdr:colOff>380999</xdr:colOff>
      <xdr:row>35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523876</xdr:colOff>
      <xdr:row>0</xdr:row>
      <xdr:rowOff>76199</xdr:rowOff>
    </xdr:from>
    <xdr:to>
      <xdr:col>23</xdr:col>
      <xdr:colOff>95250</xdr:colOff>
      <xdr:row>28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1:N22"/>
  <sheetViews>
    <sheetView showGridLines="0" zoomScale="160" zoomScaleNormal="160" workbookViewId="0">
      <selection activeCell="N15" sqref="N15"/>
    </sheetView>
  </sheetViews>
  <sheetFormatPr defaultColWidth="8.7109375" defaultRowHeight="12.75" x14ac:dyDescent="0.2"/>
  <cols>
    <col min="1" max="1" width="4.5703125" customWidth="1"/>
    <col min="2" max="2" width="0.140625" customWidth="1"/>
    <col min="3" max="3" width="2.7109375" customWidth="1"/>
    <col min="4" max="4" width="11.7109375" customWidth="1"/>
    <col min="5" max="5" width="5.28515625" customWidth="1"/>
    <col min="6" max="6" width="4.7109375" customWidth="1"/>
    <col min="7" max="7" width="4.28515625" customWidth="1"/>
    <col min="8" max="10" width="4.140625" customWidth="1"/>
    <col min="11" max="13" width="4.5703125" customWidth="1"/>
    <col min="14" max="18" width="11.7109375" customWidth="1"/>
    <col min="19" max="19" width="11.5703125" customWidth="1"/>
    <col min="20" max="1030" width="11.7109375" customWidth="1"/>
  </cols>
  <sheetData>
    <row r="1" spans="4:14" ht="18.75" customHeight="1" x14ac:dyDescent="0.2">
      <c r="D1" s="26"/>
      <c r="E1" s="26" t="s">
        <v>39</v>
      </c>
      <c r="F1" s="26"/>
      <c r="G1" s="26" t="s">
        <v>39</v>
      </c>
      <c r="H1" s="26"/>
      <c r="I1" s="26"/>
      <c r="J1" s="26"/>
    </row>
    <row r="2" spans="4:14" ht="33" customHeight="1" x14ac:dyDescent="0.2">
      <c r="D2" s="148" t="s">
        <v>40</v>
      </c>
      <c r="E2" s="119"/>
      <c r="F2" s="119"/>
      <c r="G2" s="119"/>
      <c r="H2" s="119"/>
      <c r="I2" s="119"/>
      <c r="J2" s="119"/>
      <c r="K2" s="119"/>
      <c r="L2" s="119"/>
      <c r="M2" s="120"/>
      <c r="N2" s="27"/>
    </row>
    <row r="3" spans="4:14" ht="7.5" customHeight="1" thickBot="1" x14ac:dyDescent="0.25">
      <c r="D3" s="28"/>
      <c r="E3" s="29"/>
      <c r="F3" s="29"/>
      <c r="G3" s="29"/>
      <c r="H3" s="29"/>
      <c r="I3" s="29"/>
      <c r="J3" s="29"/>
      <c r="K3" s="29"/>
      <c r="L3" s="29"/>
      <c r="M3" s="29"/>
    </row>
    <row r="4" spans="4:14" ht="14.25" customHeight="1" thickTop="1" thickBot="1" x14ac:dyDescent="0.25">
      <c r="D4" s="152" t="s">
        <v>2</v>
      </c>
      <c r="E4" s="145" t="s">
        <v>41</v>
      </c>
      <c r="F4" s="117"/>
      <c r="G4" s="128"/>
      <c r="H4" s="145" t="s">
        <v>42</v>
      </c>
      <c r="I4" s="117"/>
      <c r="J4" s="128"/>
      <c r="K4" s="145" t="s">
        <v>43</v>
      </c>
      <c r="L4" s="117"/>
      <c r="M4" s="128"/>
    </row>
    <row r="5" spans="4:14" ht="14.25" customHeight="1" thickTop="1" thickBot="1" x14ac:dyDescent="0.25">
      <c r="D5" s="125"/>
      <c r="E5" s="101">
        <v>2024</v>
      </c>
      <c r="F5" s="101">
        <v>2025</v>
      </c>
      <c r="G5" s="101">
        <v>2026</v>
      </c>
      <c r="H5" s="101">
        <v>2024</v>
      </c>
      <c r="I5" s="101">
        <v>2025</v>
      </c>
      <c r="J5" s="101">
        <v>2026</v>
      </c>
      <c r="K5" s="101">
        <v>2024</v>
      </c>
      <c r="L5" s="101">
        <v>2025</v>
      </c>
      <c r="M5" s="101">
        <v>2026</v>
      </c>
    </row>
    <row r="6" spans="4:14" ht="13.5" customHeight="1" thickTop="1" thickBot="1" x14ac:dyDescent="0.25">
      <c r="D6" s="13" t="s">
        <v>4</v>
      </c>
      <c r="E6" s="71">
        <v>3</v>
      </c>
      <c r="F6" s="71">
        <v>0</v>
      </c>
      <c r="G6" s="72">
        <v>1</v>
      </c>
      <c r="H6" s="71">
        <v>4</v>
      </c>
      <c r="I6" s="71">
        <v>4</v>
      </c>
      <c r="J6" s="72">
        <v>4</v>
      </c>
      <c r="K6" s="71">
        <v>45</v>
      </c>
      <c r="L6" s="71">
        <v>58</v>
      </c>
      <c r="M6" s="72">
        <v>42</v>
      </c>
    </row>
    <row r="7" spans="4:14" ht="13.5" customHeight="1" thickTop="1" thickBot="1" x14ac:dyDescent="0.25">
      <c r="D7" s="13" t="s">
        <v>5</v>
      </c>
      <c r="E7" s="71">
        <v>1</v>
      </c>
      <c r="F7" s="71">
        <v>1</v>
      </c>
      <c r="G7" s="72">
        <v>2</v>
      </c>
      <c r="H7" s="71">
        <v>3</v>
      </c>
      <c r="I7" s="71">
        <v>7</v>
      </c>
      <c r="J7" s="72">
        <v>3</v>
      </c>
      <c r="K7" s="71">
        <v>54</v>
      </c>
      <c r="L7" s="71">
        <v>84</v>
      </c>
      <c r="M7" s="72">
        <v>38</v>
      </c>
    </row>
    <row r="8" spans="4:14" ht="13.5" customHeight="1" thickTop="1" thickBot="1" x14ac:dyDescent="0.25">
      <c r="D8" s="13" t="s">
        <v>6</v>
      </c>
      <c r="E8" s="71">
        <v>1</v>
      </c>
      <c r="F8" s="71">
        <v>2</v>
      </c>
      <c r="G8" s="72"/>
      <c r="H8" s="71">
        <v>5</v>
      </c>
      <c r="I8" s="71">
        <v>3</v>
      </c>
      <c r="J8" s="72"/>
      <c r="K8" s="71">
        <v>62</v>
      </c>
      <c r="L8" s="71">
        <v>77</v>
      </c>
      <c r="M8" s="72"/>
    </row>
    <row r="9" spans="4:14" ht="13.5" customHeight="1" thickTop="1" thickBot="1" x14ac:dyDescent="0.25">
      <c r="D9" s="13" t="s">
        <v>7</v>
      </c>
      <c r="E9" s="71">
        <v>2</v>
      </c>
      <c r="F9" s="71">
        <v>1</v>
      </c>
      <c r="G9" s="72"/>
      <c r="H9" s="71">
        <v>6</v>
      </c>
      <c r="I9" s="71">
        <v>2</v>
      </c>
      <c r="J9" s="72"/>
      <c r="K9" s="71">
        <v>68</v>
      </c>
      <c r="L9" s="71">
        <v>71</v>
      </c>
      <c r="M9" s="72"/>
    </row>
    <row r="10" spans="4:14" ht="13.5" customHeight="1" thickTop="1" thickBot="1" x14ac:dyDescent="0.25">
      <c r="D10" s="13" t="s">
        <v>8</v>
      </c>
      <c r="E10" s="71">
        <v>2</v>
      </c>
      <c r="F10" s="71">
        <v>0</v>
      </c>
      <c r="G10" s="72"/>
      <c r="H10" s="71">
        <v>4</v>
      </c>
      <c r="I10" s="71">
        <v>3</v>
      </c>
      <c r="J10" s="72"/>
      <c r="K10" s="71">
        <v>54</v>
      </c>
      <c r="L10" s="71">
        <v>65</v>
      </c>
      <c r="M10" s="72"/>
    </row>
    <row r="11" spans="4:14" ht="13.5" customHeight="1" thickTop="1" thickBot="1" x14ac:dyDescent="0.25">
      <c r="D11" s="13" t="s">
        <v>9</v>
      </c>
      <c r="E11" s="71">
        <v>1</v>
      </c>
      <c r="F11" s="71">
        <v>0</v>
      </c>
      <c r="G11" s="72"/>
      <c r="H11" s="71">
        <v>3</v>
      </c>
      <c r="I11" s="71">
        <v>3</v>
      </c>
      <c r="J11" s="72"/>
      <c r="K11" s="71">
        <v>62</v>
      </c>
      <c r="L11" s="71">
        <v>54</v>
      </c>
      <c r="M11" s="72"/>
    </row>
    <row r="12" spans="4:14" ht="13.5" customHeight="1" thickTop="1" thickBot="1" x14ac:dyDescent="0.25">
      <c r="D12" s="13" t="s">
        <v>10</v>
      </c>
      <c r="E12" s="79">
        <v>2</v>
      </c>
      <c r="F12" s="79">
        <v>0</v>
      </c>
      <c r="G12" s="80"/>
      <c r="H12" s="79">
        <v>2</v>
      </c>
      <c r="I12" s="79">
        <v>2</v>
      </c>
      <c r="J12" s="80"/>
      <c r="K12" s="79">
        <v>74</v>
      </c>
      <c r="L12" s="79">
        <v>51</v>
      </c>
      <c r="M12" s="80"/>
    </row>
    <row r="13" spans="4:14" ht="13.5" customHeight="1" thickTop="1" thickBot="1" x14ac:dyDescent="0.25">
      <c r="D13" s="13" t="s">
        <v>11</v>
      </c>
      <c r="E13" s="79">
        <v>1</v>
      </c>
      <c r="F13" s="79">
        <v>1</v>
      </c>
      <c r="G13" s="80"/>
      <c r="H13" s="79">
        <v>0</v>
      </c>
      <c r="I13" s="79">
        <v>2</v>
      </c>
      <c r="J13" s="80"/>
      <c r="K13" s="79">
        <v>68</v>
      </c>
      <c r="L13" s="79">
        <v>58</v>
      </c>
      <c r="M13" s="80"/>
    </row>
    <row r="14" spans="4:14" ht="13.5" customHeight="1" thickTop="1" thickBot="1" x14ac:dyDescent="0.25">
      <c r="D14" s="13" t="s">
        <v>12</v>
      </c>
      <c r="E14" s="71">
        <v>0</v>
      </c>
      <c r="F14" s="71">
        <v>2</v>
      </c>
      <c r="G14" s="72"/>
      <c r="H14" s="71">
        <v>1</v>
      </c>
      <c r="I14" s="71">
        <v>3</v>
      </c>
      <c r="J14" s="72"/>
      <c r="K14" s="71">
        <v>73</v>
      </c>
      <c r="L14" s="71">
        <v>61</v>
      </c>
      <c r="M14" s="72"/>
    </row>
    <row r="15" spans="4:14" ht="13.5" customHeight="1" thickTop="1" thickBot="1" x14ac:dyDescent="0.25">
      <c r="D15" s="13" t="s">
        <v>13</v>
      </c>
      <c r="E15" s="71">
        <v>1</v>
      </c>
      <c r="F15" s="71">
        <v>2</v>
      </c>
      <c r="G15" s="72"/>
      <c r="H15" s="71">
        <v>1</v>
      </c>
      <c r="I15" s="71">
        <v>4</v>
      </c>
      <c r="J15" s="72"/>
      <c r="K15" s="71">
        <v>78</v>
      </c>
      <c r="L15" s="71">
        <v>62</v>
      </c>
      <c r="M15" s="72"/>
    </row>
    <row r="16" spans="4:14" ht="13.5" customHeight="1" thickTop="1" thickBot="1" x14ac:dyDescent="0.25">
      <c r="D16" s="13" t="s">
        <v>14</v>
      </c>
      <c r="E16" s="71">
        <v>0</v>
      </c>
      <c r="F16" s="71">
        <v>2</v>
      </c>
      <c r="G16" s="72"/>
      <c r="H16" s="71">
        <v>1</v>
      </c>
      <c r="I16" s="71">
        <v>4</v>
      </c>
      <c r="J16" s="72"/>
      <c r="K16" s="71">
        <v>82</v>
      </c>
      <c r="L16" s="71">
        <v>54</v>
      </c>
      <c r="M16" s="72"/>
    </row>
    <row r="17" spans="4:13" ht="13.5" customHeight="1" thickTop="1" thickBot="1" x14ac:dyDescent="0.25">
      <c r="D17" s="13" t="s">
        <v>15</v>
      </c>
      <c r="E17" s="71">
        <v>1</v>
      </c>
      <c r="F17" s="71">
        <v>1</v>
      </c>
      <c r="G17" s="72"/>
      <c r="H17" s="71">
        <v>2</v>
      </c>
      <c r="I17" s="71">
        <v>3</v>
      </c>
      <c r="J17" s="72"/>
      <c r="K17" s="71">
        <v>81</v>
      </c>
      <c r="L17" s="71">
        <v>68</v>
      </c>
      <c r="M17" s="72"/>
    </row>
    <row r="18" spans="4:13" ht="14.25" customHeight="1" thickTop="1" thickBot="1" x14ac:dyDescent="0.25">
      <c r="D18" s="8" t="s">
        <v>16</v>
      </c>
      <c r="E18" s="30">
        <f t="shared" ref="E18:M18" si="0">SUM(E6:E17)</f>
        <v>15</v>
      </c>
      <c r="F18" s="30">
        <f t="shared" si="0"/>
        <v>12</v>
      </c>
      <c r="G18" s="30">
        <f t="shared" si="0"/>
        <v>3</v>
      </c>
      <c r="H18" s="30">
        <f t="shared" si="0"/>
        <v>32</v>
      </c>
      <c r="I18" s="30">
        <f t="shared" si="0"/>
        <v>40</v>
      </c>
      <c r="J18" s="30">
        <f t="shared" si="0"/>
        <v>7</v>
      </c>
      <c r="K18" s="30">
        <f t="shared" si="0"/>
        <v>801</v>
      </c>
      <c r="L18" s="30">
        <f t="shared" si="0"/>
        <v>763</v>
      </c>
      <c r="M18" s="30">
        <f t="shared" si="0"/>
        <v>80</v>
      </c>
    </row>
    <row r="19" spans="4:13" ht="3.75" customHeight="1" x14ac:dyDescent="0.2">
      <c r="E19" s="31"/>
      <c r="F19" s="31"/>
      <c r="G19" s="31"/>
      <c r="H19" s="31"/>
      <c r="I19" s="31"/>
      <c r="J19" s="31"/>
      <c r="K19" s="31"/>
      <c r="L19" s="31"/>
      <c r="M19" s="31">
        <v>1</v>
      </c>
    </row>
    <row r="20" spans="4:13" ht="3.75" customHeight="1" thickBot="1" x14ac:dyDescent="0.25">
      <c r="E20" s="31"/>
      <c r="F20" s="31"/>
      <c r="G20" s="31"/>
      <c r="H20" s="31"/>
      <c r="I20" s="31"/>
    </row>
    <row r="21" spans="4:13" ht="12.75" customHeight="1" x14ac:dyDescent="0.2">
      <c r="D21" s="153" t="s">
        <v>44</v>
      </c>
      <c r="E21" s="154"/>
      <c r="F21" s="154"/>
      <c r="G21" s="154"/>
      <c r="H21" s="154"/>
      <c r="I21" s="154"/>
      <c r="J21" s="154"/>
      <c r="K21" s="154"/>
      <c r="L21" s="154"/>
      <c r="M21" s="155"/>
    </row>
    <row r="22" spans="4:13" ht="19.5" customHeight="1" thickBot="1" x14ac:dyDescent="0.25">
      <c r="D22" s="149" t="s">
        <v>45</v>
      </c>
      <c r="E22" s="150"/>
      <c r="F22" s="150"/>
      <c r="G22" s="150"/>
      <c r="H22" s="150"/>
      <c r="I22" s="150"/>
      <c r="J22" s="150"/>
      <c r="K22" s="150"/>
      <c r="L22" s="150"/>
      <c r="M22" s="151"/>
    </row>
  </sheetData>
  <mergeCells count="7">
    <mergeCell ref="D2:M2"/>
    <mergeCell ref="D22:M22"/>
    <mergeCell ref="K4:M4"/>
    <mergeCell ref="D4:D5"/>
    <mergeCell ref="H4:J4"/>
    <mergeCell ref="D21:M21"/>
    <mergeCell ref="E4:G4"/>
  </mergeCells>
  <pageMargins left="0.39374999999999999" right="0.43333333333333302" top="1.0631944444444399" bottom="1.0631944444444399" header="0.78749999999999998" footer="0.78749999999999998"/>
  <pageSetup paperSize="9" orientation="landscape" horizontalDpi="300" verticalDpi="300"/>
  <headerFooter>
    <oddHeader>&amp;C&amp;"Times New Roman,Normal"&amp;12 &amp;A</oddHeader>
    <oddFooter>&amp;C&amp;"Times New Roman,Normal"&amp;12 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1"/>
  <sheetViews>
    <sheetView topLeftCell="B1" zoomScaleNormal="100" workbookViewId="0">
      <selection activeCell="H7" sqref="H7"/>
    </sheetView>
  </sheetViews>
  <sheetFormatPr defaultColWidth="8.7109375" defaultRowHeight="12.75" x14ac:dyDescent="0.2"/>
  <cols>
    <col min="1" max="1" width="5.85546875" customWidth="1"/>
    <col min="2" max="2" width="13.7109375" customWidth="1"/>
    <col min="3" max="8" width="10.28515625" customWidth="1"/>
    <col min="22" max="22" width="11.5703125" customWidth="1"/>
  </cols>
  <sheetData>
    <row r="1" spans="1:29" ht="13.5" customHeight="1" thickBot="1" x14ac:dyDescent="0.25"/>
    <row r="2" spans="1:29" ht="25.5" customHeight="1" thickTop="1" thickBot="1" x14ac:dyDescent="0.25">
      <c r="A2" s="52"/>
      <c r="B2" s="104" t="s">
        <v>0</v>
      </c>
      <c r="C2" s="105"/>
      <c r="D2" s="105"/>
      <c r="E2" s="105"/>
      <c r="F2" s="105"/>
      <c r="G2" s="105"/>
      <c r="H2" s="106"/>
      <c r="I2" s="54"/>
      <c r="J2" s="54"/>
      <c r="K2" s="54"/>
      <c r="L2" s="54"/>
      <c r="M2" s="54"/>
      <c r="N2" s="54"/>
      <c r="O2" s="54"/>
      <c r="P2" s="54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spans="1:29" ht="3.75" customHeight="1" thickTop="1" thickBot="1" x14ac:dyDescent="0.25">
      <c r="A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spans="1:29" ht="15.75" customHeight="1" thickTop="1" thickBot="1" x14ac:dyDescent="0.25">
      <c r="A4" s="52"/>
      <c r="B4" s="110" t="s">
        <v>1</v>
      </c>
      <c r="C4" s="105"/>
      <c r="D4" s="105"/>
      <c r="E4" s="105"/>
      <c r="F4" s="105"/>
      <c r="G4" s="105"/>
      <c r="H4" s="106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spans="1:29" ht="14.25" customHeight="1" thickTop="1" thickBot="1" x14ac:dyDescent="0.25">
      <c r="A5" s="52"/>
      <c r="B5" s="111" t="s">
        <v>2</v>
      </c>
      <c r="C5" s="2">
        <v>2021</v>
      </c>
      <c r="D5" s="2">
        <v>2022</v>
      </c>
      <c r="E5" s="3">
        <v>2023</v>
      </c>
      <c r="F5" s="3">
        <v>2024</v>
      </c>
      <c r="G5" s="3">
        <v>2025</v>
      </c>
      <c r="H5" s="3">
        <v>2026</v>
      </c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spans="1:29" ht="15" customHeight="1" thickTop="1" thickBot="1" x14ac:dyDescent="0.25">
      <c r="A6" s="52"/>
      <c r="B6" s="112"/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spans="1:29" ht="16.5" customHeight="1" thickTop="1" thickBot="1" x14ac:dyDescent="0.25">
      <c r="A7" s="52"/>
      <c r="B7" s="4" t="s">
        <v>4</v>
      </c>
      <c r="C7" s="5">
        <v>6</v>
      </c>
      <c r="D7" s="5">
        <v>3</v>
      </c>
      <c r="E7" s="5">
        <v>4</v>
      </c>
      <c r="F7" s="69">
        <v>3</v>
      </c>
      <c r="G7" s="69">
        <v>4</v>
      </c>
      <c r="H7" s="56">
        <v>3</v>
      </c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spans="1:29" ht="16.5" customHeight="1" thickTop="1" thickBot="1" x14ac:dyDescent="0.25">
      <c r="A8" s="52"/>
      <c r="B8" s="4" t="s">
        <v>5</v>
      </c>
      <c r="C8" s="6">
        <v>12</v>
      </c>
      <c r="D8" s="6">
        <v>2</v>
      </c>
      <c r="E8" s="6">
        <v>2</v>
      </c>
      <c r="F8" s="42">
        <v>5</v>
      </c>
      <c r="G8" s="42">
        <v>5</v>
      </c>
      <c r="H8" s="57">
        <v>1</v>
      </c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spans="1:29" ht="16.5" customHeight="1" thickTop="1" thickBot="1" x14ac:dyDescent="0.25">
      <c r="A9" s="52"/>
      <c r="B9" s="4" t="s">
        <v>6</v>
      </c>
      <c r="C9" s="6">
        <v>13</v>
      </c>
      <c r="D9" s="6">
        <v>1</v>
      </c>
      <c r="E9" s="6">
        <v>4</v>
      </c>
      <c r="F9" s="42">
        <v>3</v>
      </c>
      <c r="G9" s="42">
        <v>6</v>
      </c>
      <c r="H9" s="57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spans="1:29" ht="16.5" customHeight="1" thickTop="1" thickBot="1" x14ac:dyDescent="0.25">
      <c r="A10" s="52"/>
      <c r="B10" s="4" t="s">
        <v>7</v>
      </c>
      <c r="C10" s="6">
        <v>18</v>
      </c>
      <c r="D10" s="6">
        <v>1</v>
      </c>
      <c r="E10" s="6">
        <v>6</v>
      </c>
      <c r="F10" s="42">
        <v>5</v>
      </c>
      <c r="G10" s="42">
        <v>6</v>
      </c>
      <c r="H10" s="57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</row>
    <row r="11" spans="1:29" ht="16.5" customHeight="1" thickTop="1" thickBot="1" x14ac:dyDescent="0.25">
      <c r="A11" s="52"/>
      <c r="B11" s="4" t="s">
        <v>8</v>
      </c>
      <c r="C11" s="6">
        <v>17</v>
      </c>
      <c r="D11" s="6">
        <v>4</v>
      </c>
      <c r="E11" s="6">
        <v>1</v>
      </c>
      <c r="F11" s="42">
        <v>6</v>
      </c>
      <c r="G11" s="42">
        <v>7</v>
      </c>
      <c r="H11" s="57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</row>
    <row r="12" spans="1:29" ht="16.5" customHeight="1" thickTop="1" thickBot="1" x14ac:dyDescent="0.25">
      <c r="A12" s="52"/>
      <c r="B12" s="4" t="s">
        <v>9</v>
      </c>
      <c r="C12" s="6">
        <v>12</v>
      </c>
      <c r="D12" s="6">
        <v>6</v>
      </c>
      <c r="E12" s="6">
        <v>4</v>
      </c>
      <c r="F12" s="42">
        <v>2</v>
      </c>
      <c r="G12" s="42">
        <v>6</v>
      </c>
      <c r="H12" s="57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</row>
    <row r="13" spans="1:29" ht="16.5" customHeight="1" thickTop="1" thickBot="1" x14ac:dyDescent="0.25">
      <c r="A13" s="52"/>
      <c r="B13" s="4" t="s">
        <v>10</v>
      </c>
      <c r="C13" s="7">
        <v>12</v>
      </c>
      <c r="D13" s="7">
        <v>6</v>
      </c>
      <c r="E13" s="7">
        <v>3</v>
      </c>
      <c r="F13" s="43">
        <v>2</v>
      </c>
      <c r="G13" s="43">
        <v>3</v>
      </c>
      <c r="H13" s="66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</row>
    <row r="14" spans="1:29" ht="16.5" customHeight="1" thickTop="1" thickBot="1" x14ac:dyDescent="0.25">
      <c r="A14" s="52"/>
      <c r="B14" s="4" t="s">
        <v>11</v>
      </c>
      <c r="C14" s="7">
        <v>17</v>
      </c>
      <c r="D14" s="7">
        <v>4</v>
      </c>
      <c r="E14" s="7">
        <v>0</v>
      </c>
      <c r="F14" s="43">
        <v>6</v>
      </c>
      <c r="G14" s="43">
        <v>1</v>
      </c>
      <c r="H14" s="66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</row>
    <row r="15" spans="1:29" ht="16.5" customHeight="1" thickTop="1" thickBot="1" x14ac:dyDescent="0.25">
      <c r="A15" s="52"/>
      <c r="B15" s="4" t="s">
        <v>12</v>
      </c>
      <c r="C15" s="7">
        <v>14</v>
      </c>
      <c r="D15" s="7">
        <v>4</v>
      </c>
      <c r="E15" s="7">
        <v>1</v>
      </c>
      <c r="F15" s="43">
        <v>4</v>
      </c>
      <c r="G15" s="43">
        <v>2</v>
      </c>
      <c r="H15" s="66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</row>
    <row r="16" spans="1:29" ht="16.5" customHeight="1" thickTop="1" thickBot="1" x14ac:dyDescent="0.25">
      <c r="A16" s="52"/>
      <c r="B16" s="4" t="s">
        <v>13</v>
      </c>
      <c r="C16" s="7">
        <v>10</v>
      </c>
      <c r="D16" s="7">
        <v>2</v>
      </c>
      <c r="E16" s="7">
        <v>2</v>
      </c>
      <c r="F16" s="43">
        <v>4</v>
      </c>
      <c r="G16" s="43">
        <v>0</v>
      </c>
      <c r="H16" s="43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</row>
    <row r="17" spans="1:29" ht="16.5" customHeight="1" thickTop="1" thickBot="1" x14ac:dyDescent="0.25">
      <c r="A17" s="52"/>
      <c r="B17" s="4" t="s">
        <v>14</v>
      </c>
      <c r="C17" s="7">
        <v>26</v>
      </c>
      <c r="D17" s="7">
        <v>5</v>
      </c>
      <c r="E17" s="7">
        <v>3</v>
      </c>
      <c r="F17" s="43">
        <v>2</v>
      </c>
      <c r="G17" s="43">
        <v>3</v>
      </c>
      <c r="H17" s="66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</row>
    <row r="18" spans="1:29" ht="16.5" customHeight="1" thickTop="1" thickBot="1" x14ac:dyDescent="0.25">
      <c r="A18" s="52"/>
      <c r="B18" s="4" t="s">
        <v>15</v>
      </c>
      <c r="C18" s="7">
        <v>12</v>
      </c>
      <c r="D18" s="7">
        <v>4</v>
      </c>
      <c r="E18" s="7">
        <v>2</v>
      </c>
      <c r="F18" s="43">
        <v>2</v>
      </c>
      <c r="G18" s="43">
        <v>2</v>
      </c>
      <c r="H18" s="7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</row>
    <row r="19" spans="1:29" ht="16.5" customHeight="1" thickTop="1" thickBot="1" x14ac:dyDescent="0.25">
      <c r="A19" s="52"/>
      <c r="B19" s="8" t="s">
        <v>16</v>
      </c>
      <c r="C19" s="9">
        <f>SUM(C7:C18)</f>
        <v>169</v>
      </c>
      <c r="D19" s="9">
        <f>SUM(D7:D18)</f>
        <v>42</v>
      </c>
      <c r="E19" s="9">
        <f>SUM(E7:E18)</f>
        <v>32</v>
      </c>
      <c r="F19" s="9">
        <v>44</v>
      </c>
      <c r="G19" s="9">
        <f>SUM(G7:G18)</f>
        <v>45</v>
      </c>
      <c r="H19" s="9">
        <f>SUM(H7:H18)</f>
        <v>4</v>
      </c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</row>
    <row r="20" spans="1:29" ht="4.5" customHeight="1" thickTop="1" thickBot="1" x14ac:dyDescent="0.25">
      <c r="A20" s="52"/>
      <c r="F20">
        <f>SUM(F7:F19)</f>
        <v>88</v>
      </c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</row>
    <row r="21" spans="1:29" ht="13.5" customHeight="1" thickTop="1" x14ac:dyDescent="0.2">
      <c r="A21" s="52"/>
      <c r="B21" s="107" t="s">
        <v>17</v>
      </c>
      <c r="C21" s="108"/>
      <c r="D21" s="108"/>
      <c r="E21" s="108"/>
      <c r="F21" s="108"/>
      <c r="G21" s="108"/>
      <c r="H21" s="109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</row>
    <row r="22" spans="1:29" ht="11.25" customHeight="1" thickBot="1" x14ac:dyDescent="0.25">
      <c r="A22" s="52"/>
      <c r="B22" s="10" t="s">
        <v>18</v>
      </c>
      <c r="C22" s="83"/>
      <c r="D22" s="11"/>
      <c r="E22" s="11"/>
      <c r="F22" s="11"/>
      <c r="G22" s="11"/>
      <c r="H22" s="1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</row>
    <row r="23" spans="1:29" ht="15.75" customHeight="1" thickTop="1" x14ac:dyDescent="0.2">
      <c r="A23" s="52"/>
      <c r="B23" s="84"/>
      <c r="C23" s="84"/>
      <c r="D23" s="84"/>
      <c r="E23" s="84"/>
      <c r="F23" s="84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</row>
    <row r="24" spans="1:29" x14ac:dyDescent="0.2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</row>
    <row r="25" spans="1:29" x14ac:dyDescent="0.2">
      <c r="A25" s="52"/>
      <c r="B25" s="52"/>
      <c r="C25" s="52"/>
      <c r="D25" s="53"/>
      <c r="E25" s="53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</row>
    <row r="26" spans="1:29" x14ac:dyDescent="0.2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</row>
    <row r="27" spans="1:29" x14ac:dyDescent="0.2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</row>
    <row r="28" spans="1:29" x14ac:dyDescent="0.2">
      <c r="E28" s="14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</row>
    <row r="29" spans="1:29" x14ac:dyDescent="0.2"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</row>
    <row r="32" spans="1:29" x14ac:dyDescent="0.2">
      <c r="D32" s="14"/>
    </row>
    <row r="61" spans="1:1" x14ac:dyDescent="0.2">
      <c r="A61" s="15"/>
    </row>
  </sheetData>
  <mergeCells count="4">
    <mergeCell ref="B2:H2"/>
    <mergeCell ref="B21:H21"/>
    <mergeCell ref="B4:H4"/>
    <mergeCell ref="B5:B6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D21"/>
  <sheetViews>
    <sheetView showGridLines="0" zoomScale="85" zoomScaleNormal="85" workbookViewId="0">
      <selection activeCell="F10" sqref="F9:F10"/>
    </sheetView>
  </sheetViews>
  <sheetFormatPr defaultColWidth="8.7109375" defaultRowHeight="12.75" x14ac:dyDescent="0.2"/>
  <cols>
    <col min="1" max="1" width="4.28515625" customWidth="1"/>
    <col min="2" max="2" width="14.85546875" customWidth="1"/>
    <col min="3" max="7" width="9.5703125" customWidth="1"/>
    <col min="8" max="8" width="1.42578125" customWidth="1"/>
    <col min="9" max="9" width="16.140625" customWidth="1"/>
    <col min="10" max="11" width="9.28515625" customWidth="1"/>
    <col min="12" max="12" width="11" customWidth="1"/>
    <col min="13" max="13" width="10.28515625" customWidth="1"/>
    <col min="14" max="14" width="8" customWidth="1"/>
  </cols>
  <sheetData>
    <row r="1" spans="2:30" ht="23.25" customHeight="1" x14ac:dyDescent="0.2"/>
    <row r="2" spans="2:30" ht="36.75" customHeight="1" x14ac:dyDescent="0.2">
      <c r="B2" s="118" t="s">
        <v>19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20"/>
    </row>
    <row r="3" spans="2:30" ht="16.5" customHeight="1" thickBot="1" x14ac:dyDescent="0.25">
      <c r="B3" s="126" t="s">
        <v>2</v>
      </c>
      <c r="C3" s="116" t="s">
        <v>20</v>
      </c>
      <c r="D3" s="117"/>
      <c r="E3" s="117"/>
      <c r="F3" s="117"/>
      <c r="G3" s="117"/>
      <c r="H3" s="121"/>
      <c r="I3" s="126" t="s">
        <v>2</v>
      </c>
      <c r="J3" s="121" t="s">
        <v>21</v>
      </c>
      <c r="K3" s="122"/>
      <c r="L3" s="122"/>
      <c r="M3" s="122"/>
      <c r="N3" s="123"/>
    </row>
    <row r="4" spans="2:30" ht="15" customHeight="1" thickTop="1" thickBot="1" x14ac:dyDescent="0.25">
      <c r="B4" s="125"/>
      <c r="C4" s="100">
        <v>2023</v>
      </c>
      <c r="D4" s="100">
        <v>2024</v>
      </c>
      <c r="E4" s="100">
        <v>2025</v>
      </c>
      <c r="F4" s="100">
        <v>2025</v>
      </c>
      <c r="G4" s="100" t="s">
        <v>22</v>
      </c>
      <c r="H4" s="124"/>
      <c r="I4" s="125"/>
      <c r="J4" s="100">
        <v>2023</v>
      </c>
      <c r="K4" s="100">
        <v>2024</v>
      </c>
      <c r="L4" s="100">
        <v>2025</v>
      </c>
      <c r="M4" s="100">
        <v>2026</v>
      </c>
      <c r="N4" s="100" t="s">
        <v>22</v>
      </c>
    </row>
    <row r="5" spans="2:30" ht="16.5" customHeight="1" thickTop="1" thickBot="1" x14ac:dyDescent="0.25">
      <c r="B5" s="4" t="s">
        <v>4</v>
      </c>
      <c r="C5" s="92">
        <v>7298</v>
      </c>
      <c r="D5" s="92">
        <v>11097</v>
      </c>
      <c r="E5" s="93">
        <v>9405</v>
      </c>
      <c r="F5" s="93">
        <v>10036</v>
      </c>
      <c r="G5" s="94">
        <f>(F5-E5)/E5</f>
        <v>6.7091972355130244E-2</v>
      </c>
      <c r="H5" s="124"/>
      <c r="I5" s="4" t="s">
        <v>4</v>
      </c>
      <c r="J5" s="92">
        <v>8068</v>
      </c>
      <c r="K5" s="92">
        <v>9651</v>
      </c>
      <c r="L5" s="93">
        <v>10336</v>
      </c>
      <c r="M5" s="93">
        <v>9558</v>
      </c>
      <c r="N5" s="95">
        <f>(M5-L5)/L5</f>
        <v>-7.5270897832817332E-2</v>
      </c>
    </row>
    <row r="6" spans="2:30" ht="16.5" customHeight="1" thickTop="1" thickBot="1" x14ac:dyDescent="0.25">
      <c r="B6" s="4" t="s">
        <v>5</v>
      </c>
      <c r="C6" s="92">
        <v>7289</v>
      </c>
      <c r="D6" s="92">
        <v>10132</v>
      </c>
      <c r="E6" s="93">
        <v>8874</v>
      </c>
      <c r="F6" s="93">
        <v>10348</v>
      </c>
      <c r="G6" s="94">
        <f>(F6-E6)/E6</f>
        <v>0.16610322289835475</v>
      </c>
      <c r="H6" s="124"/>
      <c r="I6" s="4" t="s">
        <v>5</v>
      </c>
      <c r="J6" s="92">
        <v>7091</v>
      </c>
      <c r="K6" s="92">
        <v>8723</v>
      </c>
      <c r="L6" s="93">
        <v>9796</v>
      </c>
      <c r="M6" s="93">
        <v>10147</v>
      </c>
      <c r="N6" s="94">
        <f>(M6-L6)/L6</f>
        <v>3.5830951408738258E-2</v>
      </c>
    </row>
    <row r="7" spans="2:30" ht="16.5" customHeight="1" thickTop="1" thickBot="1" x14ac:dyDescent="0.25">
      <c r="B7" s="4" t="s">
        <v>6</v>
      </c>
      <c r="C7" s="92">
        <v>7952</v>
      </c>
      <c r="D7" s="92">
        <v>10825</v>
      </c>
      <c r="E7" s="93">
        <v>10353</v>
      </c>
      <c r="F7" s="93"/>
      <c r="G7" s="95"/>
      <c r="H7" s="124"/>
      <c r="I7" s="4" t="s">
        <v>6</v>
      </c>
      <c r="J7" s="92">
        <v>8884</v>
      </c>
      <c r="K7" s="92">
        <v>9829</v>
      </c>
      <c r="L7" s="93">
        <v>11575</v>
      </c>
      <c r="M7" s="93"/>
      <c r="N7" s="94"/>
    </row>
    <row r="8" spans="2:30" ht="16.5" customHeight="1" thickTop="1" thickBot="1" x14ac:dyDescent="0.25">
      <c r="B8" s="4" t="s">
        <v>7</v>
      </c>
      <c r="C8" s="92">
        <v>8728</v>
      </c>
      <c r="D8" s="92">
        <v>10846</v>
      </c>
      <c r="E8" s="93">
        <v>11200</v>
      </c>
      <c r="F8" s="93"/>
      <c r="G8" s="94"/>
      <c r="H8" s="124"/>
      <c r="I8" s="4" t="s">
        <v>7</v>
      </c>
      <c r="J8" s="92">
        <v>9036</v>
      </c>
      <c r="K8" s="92">
        <v>11531</v>
      </c>
      <c r="L8" s="93">
        <v>10589</v>
      </c>
      <c r="M8" s="93"/>
      <c r="N8" s="95"/>
    </row>
    <row r="9" spans="2:30" ht="16.5" customHeight="1" thickTop="1" thickBot="1" x14ac:dyDescent="0.25">
      <c r="B9" s="4" t="s">
        <v>8</v>
      </c>
      <c r="C9" s="96">
        <v>8283</v>
      </c>
      <c r="D9" s="96">
        <v>11431</v>
      </c>
      <c r="E9" s="97">
        <v>12089</v>
      </c>
      <c r="F9" s="97"/>
      <c r="G9" s="94"/>
      <c r="H9" s="124"/>
      <c r="I9" s="4" t="s">
        <v>8</v>
      </c>
      <c r="J9" s="96">
        <v>9394</v>
      </c>
      <c r="K9" s="96">
        <v>11794</v>
      </c>
      <c r="L9" s="97">
        <v>11045</v>
      </c>
      <c r="M9" s="97"/>
      <c r="N9" s="95"/>
    </row>
    <row r="10" spans="2:30" ht="16.5" customHeight="1" thickTop="1" thickBot="1" x14ac:dyDescent="0.25">
      <c r="B10" s="4" t="s">
        <v>9</v>
      </c>
      <c r="C10" s="96">
        <v>8883</v>
      </c>
      <c r="D10" s="96">
        <v>11299</v>
      </c>
      <c r="E10" s="97">
        <v>10960</v>
      </c>
      <c r="F10" s="97"/>
      <c r="G10" s="95"/>
      <c r="H10" s="124"/>
      <c r="I10" s="4" t="s">
        <v>9</v>
      </c>
      <c r="J10" s="96">
        <v>9415</v>
      </c>
      <c r="K10" s="96">
        <v>11376</v>
      </c>
      <c r="L10" s="97">
        <v>10984</v>
      </c>
      <c r="M10" s="97"/>
      <c r="N10" s="95"/>
      <c r="AD10" s="65"/>
    </row>
    <row r="11" spans="2:30" ht="16.5" customHeight="1" thickTop="1" thickBot="1" x14ac:dyDescent="0.25">
      <c r="B11" s="4" t="s">
        <v>10</v>
      </c>
      <c r="C11" s="96">
        <v>9543</v>
      </c>
      <c r="D11" s="96">
        <v>10787</v>
      </c>
      <c r="E11" s="97">
        <v>11358</v>
      </c>
      <c r="F11" s="97"/>
      <c r="G11" s="94"/>
      <c r="H11" s="124"/>
      <c r="I11" s="4" t="s">
        <v>10</v>
      </c>
      <c r="J11" s="96">
        <v>9644</v>
      </c>
      <c r="K11" s="96">
        <v>11416</v>
      </c>
      <c r="L11" s="97">
        <v>11450</v>
      </c>
      <c r="M11" s="97"/>
      <c r="N11" s="94"/>
      <c r="AD11" s="65"/>
    </row>
    <row r="12" spans="2:30" ht="16.5" customHeight="1" thickTop="1" thickBot="1" x14ac:dyDescent="0.25">
      <c r="B12" s="4" t="s">
        <v>11</v>
      </c>
      <c r="C12" s="92">
        <v>9754</v>
      </c>
      <c r="D12" s="92">
        <v>10468</v>
      </c>
      <c r="E12" s="93">
        <v>9982</v>
      </c>
      <c r="F12" s="93"/>
      <c r="G12" s="95"/>
      <c r="H12" s="124"/>
      <c r="I12" s="4" t="s">
        <v>11</v>
      </c>
      <c r="J12" s="92">
        <v>9797</v>
      </c>
      <c r="K12" s="92">
        <v>11498</v>
      </c>
      <c r="L12" s="93">
        <v>12023</v>
      </c>
      <c r="M12" s="93"/>
      <c r="N12" s="94"/>
    </row>
    <row r="13" spans="2:30" ht="16.5" customHeight="1" thickTop="1" thickBot="1" x14ac:dyDescent="0.25">
      <c r="B13" s="4" t="s">
        <v>12</v>
      </c>
      <c r="C13" s="92">
        <v>9098</v>
      </c>
      <c r="D13" s="92">
        <v>10133</v>
      </c>
      <c r="E13" s="93">
        <v>10074</v>
      </c>
      <c r="F13" s="93"/>
      <c r="G13" s="95"/>
      <c r="H13" s="124"/>
      <c r="I13" s="4" t="s">
        <v>12</v>
      </c>
      <c r="J13" s="59">
        <v>8497</v>
      </c>
      <c r="K13" s="59">
        <v>10910</v>
      </c>
      <c r="L13" s="99">
        <v>10863</v>
      </c>
      <c r="M13" s="99"/>
      <c r="N13" s="95"/>
    </row>
    <row r="14" spans="2:30" ht="16.5" customHeight="1" thickTop="1" thickBot="1" x14ac:dyDescent="0.25">
      <c r="B14" s="4" t="s">
        <v>13</v>
      </c>
      <c r="C14" s="92">
        <v>9541</v>
      </c>
      <c r="D14" s="92">
        <v>10485</v>
      </c>
      <c r="E14" s="93">
        <v>11258</v>
      </c>
      <c r="F14" s="93"/>
      <c r="G14" s="94"/>
      <c r="H14" s="124"/>
      <c r="I14" s="70" t="s">
        <v>13</v>
      </c>
      <c r="J14" s="59">
        <v>8523</v>
      </c>
      <c r="K14" s="92">
        <v>12172</v>
      </c>
      <c r="L14" s="93">
        <v>11986</v>
      </c>
      <c r="M14" s="93"/>
      <c r="N14" s="95"/>
    </row>
    <row r="15" spans="2:30" ht="16.5" customHeight="1" thickTop="1" thickBot="1" x14ac:dyDescent="0.25">
      <c r="B15" s="4" t="s">
        <v>14</v>
      </c>
      <c r="C15" s="92">
        <v>11609</v>
      </c>
      <c r="D15" s="92">
        <v>9862</v>
      </c>
      <c r="E15" s="93">
        <v>10056</v>
      </c>
      <c r="F15" s="93"/>
      <c r="G15" s="94"/>
      <c r="H15" s="124"/>
      <c r="I15" s="4" t="s">
        <v>14</v>
      </c>
      <c r="J15" s="59">
        <v>9394</v>
      </c>
      <c r="K15" s="59">
        <v>10411</v>
      </c>
      <c r="L15" s="99">
        <v>10842</v>
      </c>
      <c r="M15" s="99"/>
      <c r="N15" s="94"/>
    </row>
    <row r="16" spans="2:30" ht="17.25" customHeight="1" thickTop="1" thickBot="1" x14ac:dyDescent="0.25">
      <c r="B16" s="16" t="s">
        <v>15</v>
      </c>
      <c r="C16" s="92">
        <v>10796</v>
      </c>
      <c r="D16" s="92">
        <v>10256</v>
      </c>
      <c r="E16" s="93">
        <v>10459</v>
      </c>
      <c r="F16" s="93"/>
      <c r="G16" s="98"/>
      <c r="H16" s="124"/>
      <c r="I16" s="16" t="s">
        <v>15</v>
      </c>
      <c r="J16" s="92">
        <v>9173</v>
      </c>
      <c r="K16" s="92">
        <v>8905</v>
      </c>
      <c r="L16" s="93">
        <v>10985</v>
      </c>
      <c r="M16" s="93"/>
      <c r="N16" s="94"/>
    </row>
    <row r="17" spans="2:14" ht="18.75" customHeight="1" thickTop="1" thickBot="1" x14ac:dyDescent="0.25">
      <c r="B17" s="17" t="s">
        <v>16</v>
      </c>
      <c r="C17" s="68">
        <f>SUM(C5:C16)</f>
        <v>108774</v>
      </c>
      <c r="D17" s="68">
        <f>SUM(D5:D16)</f>
        <v>127621</v>
      </c>
      <c r="E17" s="68">
        <f>SUM(E5:E16)</f>
        <v>126068</v>
      </c>
      <c r="F17" s="68">
        <f>SUM(F5:F16)</f>
        <v>20384</v>
      </c>
      <c r="G17" s="18"/>
      <c r="H17" s="125"/>
      <c r="I17" s="17" t="s">
        <v>16</v>
      </c>
      <c r="J17" s="19">
        <f>SUM(J5:J16)</f>
        <v>106916</v>
      </c>
      <c r="K17" s="19">
        <f>SUM(K5:K16)</f>
        <v>128216</v>
      </c>
      <c r="L17" s="19">
        <f>SUM(L5:L16)</f>
        <v>132474</v>
      </c>
      <c r="M17" s="19">
        <f>SUM(M5:M16)</f>
        <v>19705</v>
      </c>
      <c r="N17" s="20"/>
    </row>
    <row r="18" spans="2:14" ht="5.25" customHeight="1" thickTop="1" x14ac:dyDescent="0.2"/>
    <row r="19" spans="2:14" s="21" customFormat="1" ht="12.75" customHeight="1" x14ac:dyDescent="0.2">
      <c r="B19" s="113" t="s">
        <v>23</v>
      </c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5"/>
    </row>
    <row r="20" spans="2:14" s="21" customFormat="1" ht="2.25" customHeight="1" x14ac:dyDescent="0.2"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4"/>
    </row>
    <row r="21" spans="2:14" ht="27.75" customHeight="1" x14ac:dyDescent="0.2"/>
  </sheetData>
  <mergeCells count="7">
    <mergeCell ref="B19:N19"/>
    <mergeCell ref="C3:G3"/>
    <mergeCell ref="B2:N2"/>
    <mergeCell ref="J3:N3"/>
    <mergeCell ref="H3:H17"/>
    <mergeCell ref="B3:B4"/>
    <mergeCell ref="I3:I4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  <rowBreaks count="1" manualBreakCount="1">
    <brk id="1" max="16383" man="1"/>
  </rowBreaks>
  <colBreaks count="1" manualBreakCount="1">
    <brk id="1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22"/>
  <sheetViews>
    <sheetView showGridLines="0" zoomScale="115" zoomScaleNormal="115" workbookViewId="0">
      <selection activeCell="H9" sqref="H9"/>
    </sheetView>
  </sheetViews>
  <sheetFormatPr defaultColWidth="8.7109375" defaultRowHeight="14.25" x14ac:dyDescent="0.2"/>
  <cols>
    <col min="1" max="1" width="3.140625" customWidth="1"/>
    <col min="2" max="2" width="14.28515625" customWidth="1"/>
    <col min="3" max="3" width="7.5703125" style="31" customWidth="1"/>
    <col min="4" max="4" width="8.140625" style="31" customWidth="1"/>
    <col min="5" max="5" width="7.28515625" style="31" customWidth="1"/>
    <col min="6" max="6" width="9.28515625" style="31" customWidth="1"/>
    <col min="7" max="7" width="8" style="31" customWidth="1"/>
    <col min="8" max="8" width="10.28515625" style="31" customWidth="1"/>
    <col min="9" max="9" width="2" customWidth="1"/>
    <col min="10" max="1024" width="11.7109375" customWidth="1"/>
  </cols>
  <sheetData>
    <row r="1" spans="2:8" ht="35.25" customHeight="1" thickBot="1" x14ac:dyDescent="0.25"/>
    <row r="2" spans="2:8" ht="32.25" customHeight="1" thickTop="1" thickBot="1" x14ac:dyDescent="0.25">
      <c r="B2" s="133" t="s">
        <v>24</v>
      </c>
      <c r="C2" s="108"/>
      <c r="D2" s="108"/>
      <c r="E2" s="108"/>
      <c r="F2" s="108"/>
      <c r="G2" s="108"/>
      <c r="H2" s="109"/>
    </row>
    <row r="3" spans="2:8" ht="18" customHeight="1" thickTop="1" thickBot="1" x14ac:dyDescent="0.25">
      <c r="B3" s="132" t="s">
        <v>25</v>
      </c>
      <c r="C3" s="134" t="s">
        <v>26</v>
      </c>
      <c r="D3" s="105"/>
      <c r="E3" s="106"/>
      <c r="F3" s="134" t="s">
        <v>27</v>
      </c>
      <c r="G3" s="105"/>
      <c r="H3" s="106"/>
    </row>
    <row r="4" spans="2:8" ht="14.25" customHeight="1" thickTop="1" thickBot="1" x14ac:dyDescent="0.25">
      <c r="B4" s="125"/>
      <c r="C4" s="102">
        <v>2024</v>
      </c>
      <c r="D4" s="102">
        <v>2025</v>
      </c>
      <c r="E4" s="102">
        <v>2026</v>
      </c>
      <c r="F4" s="102">
        <v>2024</v>
      </c>
      <c r="G4" s="102">
        <v>2025</v>
      </c>
      <c r="H4" s="102">
        <v>2026</v>
      </c>
    </row>
    <row r="5" spans="2:8" ht="18" customHeight="1" thickTop="1" thickBot="1" x14ac:dyDescent="0.25">
      <c r="B5" s="82" t="s">
        <v>4</v>
      </c>
      <c r="C5" s="43">
        <v>5</v>
      </c>
      <c r="D5" s="43">
        <v>5</v>
      </c>
      <c r="E5" s="66">
        <v>3</v>
      </c>
      <c r="F5" s="43">
        <v>1</v>
      </c>
      <c r="G5" s="43">
        <v>6</v>
      </c>
      <c r="H5" s="66">
        <v>5</v>
      </c>
    </row>
    <row r="6" spans="2:8" ht="18" customHeight="1" thickTop="1" thickBot="1" x14ac:dyDescent="0.25">
      <c r="B6" s="82" t="s">
        <v>5</v>
      </c>
      <c r="C6" s="43">
        <v>6</v>
      </c>
      <c r="D6" s="43">
        <v>8</v>
      </c>
      <c r="E6" s="66">
        <v>7</v>
      </c>
      <c r="F6" s="43">
        <v>1</v>
      </c>
      <c r="G6" s="43">
        <v>3</v>
      </c>
      <c r="H6" s="66">
        <v>2</v>
      </c>
    </row>
    <row r="7" spans="2:8" ht="18" customHeight="1" thickTop="1" thickBot="1" x14ac:dyDescent="0.25">
      <c r="B7" s="82" t="s">
        <v>6</v>
      </c>
      <c r="C7" s="43">
        <v>15</v>
      </c>
      <c r="D7" s="43">
        <v>3</v>
      </c>
      <c r="E7" s="66"/>
      <c r="F7" s="43">
        <v>5</v>
      </c>
      <c r="G7" s="43">
        <v>6</v>
      </c>
      <c r="H7" s="66"/>
    </row>
    <row r="8" spans="2:8" ht="18" customHeight="1" thickTop="1" thickBot="1" x14ac:dyDescent="0.25">
      <c r="B8" s="82" t="s">
        <v>7</v>
      </c>
      <c r="C8" s="42">
        <v>5</v>
      </c>
      <c r="D8" s="42">
        <v>1</v>
      </c>
      <c r="E8" s="57"/>
      <c r="F8" s="42">
        <v>3</v>
      </c>
      <c r="G8" s="42">
        <v>2</v>
      </c>
      <c r="H8" s="57"/>
    </row>
    <row r="9" spans="2:8" ht="18" customHeight="1" thickTop="1" thickBot="1" x14ac:dyDescent="0.25">
      <c r="B9" s="82" t="s">
        <v>8</v>
      </c>
      <c r="C9" s="42">
        <v>6</v>
      </c>
      <c r="D9" s="42">
        <v>2</v>
      </c>
      <c r="E9" s="57"/>
      <c r="F9" s="42">
        <v>7</v>
      </c>
      <c r="G9" s="42">
        <v>2</v>
      </c>
      <c r="H9" s="57"/>
    </row>
    <row r="10" spans="2:8" ht="18" customHeight="1" thickTop="1" thickBot="1" x14ac:dyDescent="0.25">
      <c r="B10" s="82" t="s">
        <v>9</v>
      </c>
      <c r="C10" s="42">
        <v>3</v>
      </c>
      <c r="D10" s="42">
        <v>3</v>
      </c>
      <c r="E10" s="57"/>
      <c r="F10" s="42">
        <v>4</v>
      </c>
      <c r="G10" s="42">
        <v>3</v>
      </c>
      <c r="H10" s="57"/>
    </row>
    <row r="11" spans="2:8" ht="18" customHeight="1" thickTop="1" thickBot="1" x14ac:dyDescent="0.25">
      <c r="B11" s="82" t="s">
        <v>10</v>
      </c>
      <c r="C11" s="43">
        <v>3</v>
      </c>
      <c r="D11" s="43">
        <v>4</v>
      </c>
      <c r="E11" s="66"/>
      <c r="F11" s="43">
        <v>4</v>
      </c>
      <c r="G11" s="43">
        <v>2</v>
      </c>
      <c r="H11" s="66"/>
    </row>
    <row r="12" spans="2:8" ht="18" customHeight="1" thickTop="1" thickBot="1" x14ac:dyDescent="0.25">
      <c r="B12" s="82" t="s">
        <v>11</v>
      </c>
      <c r="C12" s="43">
        <v>0</v>
      </c>
      <c r="D12" s="43">
        <v>5</v>
      </c>
      <c r="E12" s="66"/>
      <c r="F12" s="43">
        <v>6</v>
      </c>
      <c r="G12" s="43">
        <v>4</v>
      </c>
      <c r="H12" s="66"/>
    </row>
    <row r="13" spans="2:8" ht="18" customHeight="1" thickTop="1" thickBot="1" x14ac:dyDescent="0.25">
      <c r="B13" s="82" t="s">
        <v>12</v>
      </c>
      <c r="C13" s="43">
        <v>6</v>
      </c>
      <c r="D13" s="43">
        <v>4</v>
      </c>
      <c r="E13" s="66"/>
      <c r="F13" s="43">
        <v>5</v>
      </c>
      <c r="G13" s="43">
        <v>2</v>
      </c>
      <c r="H13" s="66"/>
    </row>
    <row r="14" spans="2:8" ht="18" customHeight="1" thickTop="1" thickBot="1" x14ac:dyDescent="0.25">
      <c r="B14" s="82" t="s">
        <v>13</v>
      </c>
      <c r="C14" s="43">
        <v>3</v>
      </c>
      <c r="D14" s="43">
        <v>5</v>
      </c>
      <c r="E14" s="66"/>
      <c r="F14" s="42">
        <v>9</v>
      </c>
      <c r="G14" s="42">
        <v>5</v>
      </c>
      <c r="H14" s="57"/>
    </row>
    <row r="15" spans="2:8" ht="18" customHeight="1" thickTop="1" thickBot="1" x14ac:dyDescent="0.25">
      <c r="B15" s="82" t="s">
        <v>14</v>
      </c>
      <c r="C15" s="43">
        <v>6</v>
      </c>
      <c r="D15" s="43">
        <v>6</v>
      </c>
      <c r="E15" s="66"/>
      <c r="F15" s="42">
        <v>4</v>
      </c>
      <c r="G15" s="42">
        <v>4</v>
      </c>
      <c r="H15" s="57"/>
    </row>
    <row r="16" spans="2:8" ht="18" customHeight="1" thickTop="1" thickBot="1" x14ac:dyDescent="0.25">
      <c r="B16" s="82" t="s">
        <v>15</v>
      </c>
      <c r="C16" s="43">
        <v>10</v>
      </c>
      <c r="D16" s="43">
        <v>8</v>
      </c>
      <c r="E16" s="66"/>
      <c r="F16" s="43">
        <v>6</v>
      </c>
      <c r="G16" s="43">
        <v>3</v>
      </c>
      <c r="H16" s="66"/>
    </row>
    <row r="17" spans="2:9" ht="16.5" customHeight="1" thickTop="1" thickBot="1" x14ac:dyDescent="0.25">
      <c r="B17" s="55" t="s">
        <v>16</v>
      </c>
      <c r="C17" s="9">
        <f t="shared" ref="C17:H17" si="0">SUM(C5:C16)</f>
        <v>68</v>
      </c>
      <c r="D17" s="9">
        <f t="shared" si="0"/>
        <v>54</v>
      </c>
      <c r="E17" s="9">
        <f t="shared" si="0"/>
        <v>10</v>
      </c>
      <c r="F17" s="9">
        <f t="shared" si="0"/>
        <v>55</v>
      </c>
      <c r="G17" s="9">
        <f t="shared" si="0"/>
        <v>42</v>
      </c>
      <c r="H17" s="9">
        <f t="shared" si="0"/>
        <v>7</v>
      </c>
    </row>
    <row r="18" spans="2:9" ht="7.5" customHeight="1" thickTop="1" thickBot="1" x14ac:dyDescent="0.25"/>
    <row r="19" spans="2:9" ht="15" hidden="1" customHeight="1" thickBot="1" x14ac:dyDescent="0.25"/>
    <row r="20" spans="2:9" ht="15.75" customHeight="1" thickTop="1" x14ac:dyDescent="0.2">
      <c r="B20" s="135" t="s">
        <v>28</v>
      </c>
      <c r="C20" s="108"/>
      <c r="D20" s="108"/>
      <c r="E20" s="108"/>
      <c r="F20" s="108"/>
      <c r="G20" s="108"/>
      <c r="H20" s="109"/>
      <c r="I20" s="25"/>
    </row>
    <row r="21" spans="2:9" x14ac:dyDescent="0.2">
      <c r="B21" s="129" t="s">
        <v>29</v>
      </c>
      <c r="C21" s="130"/>
      <c r="D21" s="130"/>
      <c r="E21" s="130"/>
      <c r="F21" s="130"/>
      <c r="G21" s="130"/>
      <c r="H21" s="131"/>
      <c r="I21" s="25"/>
    </row>
    <row r="22" spans="2:9" ht="15" customHeight="1" thickBot="1" x14ac:dyDescent="0.25">
      <c r="B22" s="127" t="s">
        <v>30</v>
      </c>
      <c r="C22" s="117"/>
      <c r="D22" s="117"/>
      <c r="E22" s="117"/>
      <c r="F22" s="117"/>
      <c r="G22" s="117"/>
      <c r="H22" s="128"/>
    </row>
  </sheetData>
  <mergeCells count="7">
    <mergeCell ref="B22:H22"/>
    <mergeCell ref="B21:H21"/>
    <mergeCell ref="B3:B4"/>
    <mergeCell ref="B2:H2"/>
    <mergeCell ref="C3:E3"/>
    <mergeCell ref="F3:H3"/>
    <mergeCell ref="B20:H20"/>
  </mergeCells>
  <pageMargins left="0.196527777777778" right="0.27569444444444402" top="1.0631944444444399" bottom="1.0631944444444399" header="0.78749999999999998" footer="0.78749999999999998"/>
  <pageSetup paperSize="9" orientation="portrait" horizontalDpi="300" verticalDpi="300"/>
  <headerFooter>
    <oddHeader>&amp;C&amp;"Times New Roman,Normal"&amp;12 &amp;A</oddHeader>
    <oddFooter>&amp;C&amp;"Times New Roman,Normal"&amp;12 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24"/>
  <sheetViews>
    <sheetView zoomScale="160" zoomScaleNormal="160" workbookViewId="0">
      <selection activeCell="C31" sqref="C31"/>
    </sheetView>
  </sheetViews>
  <sheetFormatPr defaultColWidth="8.7109375" defaultRowHeight="12.75" x14ac:dyDescent="0.2"/>
  <cols>
    <col min="1" max="1" width="1.85546875" customWidth="1"/>
    <col min="2" max="2" width="2.7109375" hidden="1" customWidth="1"/>
    <col min="3" max="3" width="11.5703125" customWidth="1"/>
    <col min="4" max="6" width="5.7109375" customWidth="1"/>
    <col min="7" max="7" width="0.28515625" customWidth="1"/>
    <col min="8" max="8" width="6.140625" customWidth="1"/>
    <col min="9" max="9" width="5.85546875" customWidth="1"/>
    <col min="10" max="10" width="6.85546875" customWidth="1"/>
    <col min="16" max="16" width="11.5703125" customWidth="1"/>
  </cols>
  <sheetData>
    <row r="1" spans="3:11" ht="14.25" customHeight="1" x14ac:dyDescent="0.2">
      <c r="C1" s="26"/>
      <c r="D1" s="26"/>
      <c r="E1" s="26"/>
      <c r="F1" s="26"/>
      <c r="G1" s="26"/>
    </row>
    <row r="2" spans="3:11" ht="28.5" customHeight="1" x14ac:dyDescent="0.2">
      <c r="C2" s="136" t="s">
        <v>31</v>
      </c>
      <c r="D2" s="119"/>
      <c r="E2" s="119"/>
      <c r="F2" s="119"/>
      <c r="G2" s="119"/>
      <c r="H2" s="119"/>
      <c r="I2" s="119"/>
      <c r="J2" s="119"/>
      <c r="K2" s="27"/>
    </row>
    <row r="3" spans="3:11" ht="7.5" customHeight="1" thickBot="1" x14ac:dyDescent="0.25">
      <c r="C3" s="28"/>
      <c r="D3" s="28"/>
      <c r="E3" s="29"/>
      <c r="F3" s="29"/>
      <c r="G3" s="29"/>
      <c r="H3" s="85"/>
    </row>
    <row r="4" spans="3:11" ht="12" customHeight="1" thickTop="1" x14ac:dyDescent="0.2">
      <c r="C4" s="144" t="s">
        <v>2</v>
      </c>
      <c r="D4" s="137" t="s">
        <v>32</v>
      </c>
      <c r="E4" s="138"/>
      <c r="F4" s="139"/>
      <c r="G4" s="147"/>
      <c r="H4" s="137" t="s">
        <v>33</v>
      </c>
      <c r="I4" s="138"/>
      <c r="J4" s="139"/>
      <c r="K4" s="25"/>
    </row>
    <row r="5" spans="3:11" ht="9.75" customHeight="1" thickBot="1" x14ac:dyDescent="0.25">
      <c r="C5" s="124"/>
      <c r="D5" s="145" t="s">
        <v>34</v>
      </c>
      <c r="E5" s="117"/>
      <c r="F5" s="128"/>
      <c r="G5" s="125"/>
      <c r="H5" s="145" t="s">
        <v>35</v>
      </c>
      <c r="I5" s="117"/>
      <c r="J5" s="128"/>
    </row>
    <row r="6" spans="3:11" ht="14.25" customHeight="1" thickTop="1" thickBot="1" x14ac:dyDescent="0.25">
      <c r="C6" s="125"/>
      <c r="D6" s="58">
        <v>2024</v>
      </c>
      <c r="E6" s="101">
        <v>2025</v>
      </c>
      <c r="F6" s="101">
        <v>2026</v>
      </c>
      <c r="G6" s="101"/>
      <c r="H6" s="101">
        <v>2024</v>
      </c>
      <c r="I6" s="101">
        <v>2025</v>
      </c>
      <c r="J6" s="101">
        <v>2026</v>
      </c>
    </row>
    <row r="7" spans="3:11" ht="12.95" customHeight="1" thickTop="1" thickBot="1" x14ac:dyDescent="0.25">
      <c r="C7" s="13" t="s">
        <v>4</v>
      </c>
      <c r="D7" s="71">
        <v>4</v>
      </c>
      <c r="E7" s="71">
        <v>0</v>
      </c>
      <c r="F7" s="72">
        <v>2</v>
      </c>
      <c r="G7" s="72"/>
      <c r="H7" s="71">
        <v>16</v>
      </c>
      <c r="I7" s="71">
        <v>12</v>
      </c>
      <c r="J7" s="72">
        <v>18</v>
      </c>
    </row>
    <row r="8" spans="3:11" ht="12.95" customHeight="1" thickTop="1" thickBot="1" x14ac:dyDescent="0.25">
      <c r="C8" s="13" t="s">
        <v>5</v>
      </c>
      <c r="D8" s="71">
        <v>3</v>
      </c>
      <c r="E8" s="71">
        <v>1</v>
      </c>
      <c r="F8" s="72">
        <v>1</v>
      </c>
      <c r="G8" s="72"/>
      <c r="H8" s="71">
        <v>21</v>
      </c>
      <c r="I8" s="71">
        <v>18</v>
      </c>
      <c r="J8" s="72">
        <v>15</v>
      </c>
    </row>
    <row r="9" spans="3:11" ht="12.95" customHeight="1" thickTop="1" thickBot="1" x14ac:dyDescent="0.25">
      <c r="C9" s="13" t="s">
        <v>6</v>
      </c>
      <c r="D9" s="71">
        <v>5</v>
      </c>
      <c r="E9" s="71">
        <v>2</v>
      </c>
      <c r="F9" s="72"/>
      <c r="G9" s="72"/>
      <c r="H9" s="71">
        <v>32</v>
      </c>
      <c r="I9" s="71">
        <v>16</v>
      </c>
      <c r="J9" s="72"/>
    </row>
    <row r="10" spans="3:11" ht="12.95" customHeight="1" thickTop="1" thickBot="1" x14ac:dyDescent="0.25">
      <c r="C10" s="13" t="s">
        <v>7</v>
      </c>
      <c r="D10" s="73">
        <v>3</v>
      </c>
      <c r="E10" s="73">
        <v>2</v>
      </c>
      <c r="F10" s="74"/>
      <c r="G10" s="72"/>
      <c r="H10" s="71">
        <v>43</v>
      </c>
      <c r="I10" s="71">
        <v>24</v>
      </c>
      <c r="J10" s="72"/>
    </row>
    <row r="11" spans="3:11" ht="12.95" customHeight="1" thickTop="1" thickBot="1" x14ac:dyDescent="0.25">
      <c r="C11" s="13" t="s">
        <v>8</v>
      </c>
      <c r="D11" s="75">
        <v>2</v>
      </c>
      <c r="E11" s="75">
        <v>0</v>
      </c>
      <c r="F11" s="76"/>
      <c r="G11" s="76"/>
      <c r="H11" s="71">
        <v>38</v>
      </c>
      <c r="I11" s="71">
        <v>32</v>
      </c>
      <c r="J11" s="72"/>
    </row>
    <row r="12" spans="3:11" ht="12.95" customHeight="1" thickTop="1" thickBot="1" x14ac:dyDescent="0.25">
      <c r="C12" s="13" t="s">
        <v>9</v>
      </c>
      <c r="D12" s="77">
        <v>4</v>
      </c>
      <c r="E12" s="77">
        <v>2</v>
      </c>
      <c r="F12" s="78"/>
      <c r="G12" s="72"/>
      <c r="H12" s="71">
        <v>40</v>
      </c>
      <c r="I12" s="71">
        <v>25</v>
      </c>
      <c r="J12" s="72"/>
    </row>
    <row r="13" spans="3:11" ht="12.95" customHeight="1" thickTop="1" thickBot="1" x14ac:dyDescent="0.25">
      <c r="C13" s="13" t="s">
        <v>10</v>
      </c>
      <c r="D13" s="79">
        <v>2</v>
      </c>
      <c r="E13" s="79">
        <v>1</v>
      </c>
      <c r="F13" s="80"/>
      <c r="G13" s="80"/>
      <c r="H13" s="79">
        <v>42</v>
      </c>
      <c r="I13" s="79">
        <v>27</v>
      </c>
      <c r="J13" s="80"/>
    </row>
    <row r="14" spans="3:11" ht="12.95" customHeight="1" thickTop="1" thickBot="1" x14ac:dyDescent="0.25">
      <c r="C14" s="13" t="s">
        <v>11</v>
      </c>
      <c r="D14" s="79">
        <v>0</v>
      </c>
      <c r="E14" s="79">
        <v>1</v>
      </c>
      <c r="F14" s="80"/>
      <c r="G14" s="80"/>
      <c r="H14" s="79">
        <v>34</v>
      </c>
      <c r="I14" s="79">
        <v>22</v>
      </c>
      <c r="J14" s="80"/>
    </row>
    <row r="15" spans="3:11" ht="12.95" customHeight="1" thickTop="1" thickBot="1" x14ac:dyDescent="0.25">
      <c r="C15" s="13" t="s">
        <v>12</v>
      </c>
      <c r="D15" s="71">
        <v>1</v>
      </c>
      <c r="E15" s="71">
        <v>0</v>
      </c>
      <c r="F15" s="72"/>
      <c r="G15" s="72"/>
      <c r="H15" s="71">
        <v>30</v>
      </c>
      <c r="I15" s="71">
        <v>18</v>
      </c>
      <c r="J15" s="72"/>
    </row>
    <row r="16" spans="3:11" ht="12.95" customHeight="1" thickTop="1" thickBot="1" x14ac:dyDescent="0.25">
      <c r="C16" s="13" t="s">
        <v>13</v>
      </c>
      <c r="D16" s="71">
        <v>2</v>
      </c>
      <c r="E16" s="71">
        <v>2</v>
      </c>
      <c r="F16" s="72"/>
      <c r="G16" s="72"/>
      <c r="H16" s="71">
        <v>28</v>
      </c>
      <c r="I16" s="71">
        <v>19</v>
      </c>
      <c r="J16" s="72"/>
    </row>
    <row r="17" spans="3:10" ht="12.95" customHeight="1" thickTop="1" thickBot="1" x14ac:dyDescent="0.25">
      <c r="C17" s="13" t="s">
        <v>14</v>
      </c>
      <c r="D17" s="71">
        <v>2</v>
      </c>
      <c r="E17" s="71">
        <v>1</v>
      </c>
      <c r="F17" s="72"/>
      <c r="G17" s="72"/>
      <c r="H17" s="71">
        <v>32</v>
      </c>
      <c r="I17" s="71">
        <v>21</v>
      </c>
      <c r="J17" s="72"/>
    </row>
    <row r="18" spans="3:10" ht="12.95" customHeight="1" thickTop="1" thickBot="1" x14ac:dyDescent="0.25">
      <c r="C18" s="13" t="s">
        <v>15</v>
      </c>
      <c r="D18" s="71">
        <v>3</v>
      </c>
      <c r="E18" s="71">
        <v>2</v>
      </c>
      <c r="F18" s="71"/>
      <c r="G18" s="72"/>
      <c r="H18" s="71">
        <v>27</v>
      </c>
      <c r="I18" s="71">
        <v>28</v>
      </c>
      <c r="J18" s="72"/>
    </row>
    <row r="19" spans="3:10" ht="14.25" customHeight="1" thickTop="1" thickBot="1" x14ac:dyDescent="0.25">
      <c r="C19" s="8" t="s">
        <v>16</v>
      </c>
      <c r="D19" s="81">
        <v>28</v>
      </c>
      <c r="E19" s="81">
        <v>14</v>
      </c>
      <c r="F19" s="81">
        <f>SUM(F7:F18)</f>
        <v>3</v>
      </c>
      <c r="G19" s="81"/>
      <c r="H19" s="81">
        <f>SUM(H7:H18)</f>
        <v>383</v>
      </c>
      <c r="I19" s="81">
        <f>SUM(I7:I18)</f>
        <v>262</v>
      </c>
      <c r="J19" s="81">
        <f>SUM(J7:J18)</f>
        <v>33</v>
      </c>
    </row>
    <row r="20" spans="3:10" ht="3.75" customHeight="1" thickTop="1" thickBot="1" x14ac:dyDescent="0.25">
      <c r="E20" s="31"/>
      <c r="F20" s="31">
        <f>SUM(F7:F19)</f>
        <v>6</v>
      </c>
      <c r="G20" s="31">
        <f>SUM(G7:G18)</f>
        <v>0</v>
      </c>
      <c r="H20" s="31"/>
      <c r="I20" s="31"/>
      <c r="J20" s="31"/>
    </row>
    <row r="21" spans="3:10" ht="12" customHeight="1" thickTop="1" x14ac:dyDescent="0.2">
      <c r="C21" s="146" t="s">
        <v>36</v>
      </c>
      <c r="D21" s="138"/>
      <c r="E21" s="138"/>
      <c r="F21" s="138"/>
      <c r="G21" s="138"/>
      <c r="H21" s="138"/>
      <c r="I21" s="138"/>
      <c r="J21" s="139"/>
    </row>
    <row r="22" spans="3:10" ht="12" customHeight="1" x14ac:dyDescent="0.2">
      <c r="C22" s="140" t="s">
        <v>37</v>
      </c>
      <c r="D22" s="141"/>
      <c r="E22" s="141"/>
      <c r="F22" s="141"/>
      <c r="G22" s="141"/>
      <c r="H22" s="141"/>
      <c r="I22" s="141"/>
      <c r="J22" s="142"/>
    </row>
    <row r="23" spans="3:10" ht="12" customHeight="1" thickBot="1" x14ac:dyDescent="0.25">
      <c r="C23" s="143" t="s">
        <v>38</v>
      </c>
      <c r="D23" s="117"/>
      <c r="E23" s="117"/>
      <c r="F23" s="117"/>
      <c r="G23" s="117"/>
      <c r="H23" s="117"/>
      <c r="I23" s="117"/>
      <c r="J23" s="128"/>
    </row>
    <row r="24" spans="3:10" ht="13.5" customHeight="1" thickTop="1" x14ac:dyDescent="0.2"/>
  </sheetData>
  <mergeCells count="10">
    <mergeCell ref="C2:J2"/>
    <mergeCell ref="H4:J4"/>
    <mergeCell ref="C22:J22"/>
    <mergeCell ref="C23:J23"/>
    <mergeCell ref="C4:C6"/>
    <mergeCell ref="D5:F5"/>
    <mergeCell ref="C21:J21"/>
    <mergeCell ref="G4:G5"/>
    <mergeCell ref="H5:J5"/>
    <mergeCell ref="D4:F4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20"/>
  <sheetViews>
    <sheetView showGridLines="0" zoomScale="130" zoomScaleNormal="130" workbookViewId="0">
      <selection activeCell="L43" sqref="L43"/>
    </sheetView>
  </sheetViews>
  <sheetFormatPr defaultColWidth="8.7109375" defaultRowHeight="12.75" x14ac:dyDescent="0.2"/>
  <cols>
    <col min="2" max="2" width="20.5703125" customWidth="1"/>
    <col min="3" max="7" width="7.140625" customWidth="1"/>
    <col min="8" max="8" width="10.5703125" customWidth="1"/>
    <col min="9" max="1029" width="11.7109375" customWidth="1"/>
  </cols>
  <sheetData>
    <row r="2" spans="2:8" ht="36" customHeight="1" x14ac:dyDescent="0.2">
      <c r="B2" s="159" t="s">
        <v>46</v>
      </c>
      <c r="C2" s="119"/>
      <c r="D2" s="119"/>
      <c r="E2" s="119"/>
      <c r="F2" s="119"/>
      <c r="G2" s="119"/>
      <c r="H2" s="120"/>
    </row>
    <row r="3" spans="2:8" ht="4.5" customHeight="1" x14ac:dyDescent="0.2">
      <c r="B3" s="32"/>
      <c r="C3" s="32"/>
      <c r="D3" s="32"/>
      <c r="E3" s="32"/>
      <c r="F3" s="32"/>
      <c r="G3" s="32"/>
    </row>
    <row r="4" spans="2:8" ht="19.5" customHeight="1" thickBot="1" x14ac:dyDescent="0.25">
      <c r="B4" s="33" t="s">
        <v>47</v>
      </c>
      <c r="C4" s="33">
        <v>2022</v>
      </c>
      <c r="D4" s="33">
        <v>2023</v>
      </c>
      <c r="E4" s="33">
        <v>2024</v>
      </c>
      <c r="F4" s="33">
        <v>2025</v>
      </c>
      <c r="G4" s="33">
        <v>2026</v>
      </c>
      <c r="H4" s="33" t="s">
        <v>48</v>
      </c>
    </row>
    <row r="5" spans="2:8" ht="17.25" customHeight="1" thickTop="1" thickBot="1" x14ac:dyDescent="0.3">
      <c r="B5" s="47" t="s">
        <v>4</v>
      </c>
      <c r="C5" s="45">
        <v>150</v>
      </c>
      <c r="D5" s="45">
        <v>109</v>
      </c>
      <c r="E5" s="45">
        <v>128</v>
      </c>
      <c r="F5" s="44">
        <v>132</v>
      </c>
      <c r="G5" s="44">
        <v>137</v>
      </c>
      <c r="H5" s="63">
        <f>(G5-F5)/F5</f>
        <v>3.787878787878788E-2</v>
      </c>
    </row>
    <row r="6" spans="2:8" ht="17.25" customHeight="1" thickTop="1" thickBot="1" x14ac:dyDescent="0.3">
      <c r="B6" s="47" t="s">
        <v>5</v>
      </c>
      <c r="C6" s="45">
        <v>162</v>
      </c>
      <c r="D6" s="45">
        <v>96</v>
      </c>
      <c r="E6" s="45">
        <v>132</v>
      </c>
      <c r="F6" s="44">
        <v>140</v>
      </c>
      <c r="G6" s="44">
        <v>129</v>
      </c>
      <c r="H6" s="67">
        <f>(G6-F6)/F6</f>
        <v>-7.857142857142857E-2</v>
      </c>
    </row>
    <row r="7" spans="2:8" ht="17.25" customHeight="1" thickTop="1" thickBot="1" x14ac:dyDescent="0.3">
      <c r="B7" s="47" t="s">
        <v>6</v>
      </c>
      <c r="C7" s="45">
        <v>157</v>
      </c>
      <c r="D7" s="45">
        <v>127</v>
      </c>
      <c r="E7" s="45">
        <v>151</v>
      </c>
      <c r="F7" s="44">
        <v>119</v>
      </c>
      <c r="G7" s="44"/>
      <c r="H7" s="67"/>
    </row>
    <row r="8" spans="2:8" ht="17.25" customHeight="1" thickTop="1" thickBot="1" x14ac:dyDescent="0.3">
      <c r="B8" s="47" t="s">
        <v>7</v>
      </c>
      <c r="C8" s="45">
        <v>134</v>
      </c>
      <c r="D8" s="45">
        <v>127</v>
      </c>
      <c r="E8" s="45">
        <v>137</v>
      </c>
      <c r="F8" s="44">
        <v>130</v>
      </c>
      <c r="G8" s="44"/>
      <c r="H8" s="67"/>
    </row>
    <row r="9" spans="2:8" ht="17.25" customHeight="1" thickTop="1" thickBot="1" x14ac:dyDescent="0.3">
      <c r="B9" s="47" t="s">
        <v>8</v>
      </c>
      <c r="C9" s="45">
        <v>153</v>
      </c>
      <c r="D9" s="45">
        <v>126</v>
      </c>
      <c r="E9" s="45">
        <v>145</v>
      </c>
      <c r="F9" s="44">
        <v>154</v>
      </c>
      <c r="G9" s="44"/>
      <c r="H9" s="63"/>
    </row>
    <row r="10" spans="2:8" ht="17.25" customHeight="1" thickTop="1" thickBot="1" x14ac:dyDescent="0.3">
      <c r="B10" s="47" t="s">
        <v>9</v>
      </c>
      <c r="C10" s="45">
        <v>149</v>
      </c>
      <c r="D10" s="45">
        <v>118</v>
      </c>
      <c r="E10" s="45">
        <v>143</v>
      </c>
      <c r="F10" s="44">
        <v>171</v>
      </c>
      <c r="G10" s="44"/>
      <c r="H10" s="63"/>
    </row>
    <row r="11" spans="2:8" ht="15.75" customHeight="1" x14ac:dyDescent="0.25">
      <c r="B11" s="47" t="s">
        <v>10</v>
      </c>
      <c r="C11" s="46">
        <v>148</v>
      </c>
      <c r="D11" s="45">
        <v>127</v>
      </c>
      <c r="E11" s="45">
        <v>142</v>
      </c>
      <c r="F11" s="44">
        <v>157</v>
      </c>
      <c r="G11" s="44"/>
      <c r="H11" s="63"/>
    </row>
    <row r="12" spans="2:8" ht="15.75" customHeight="1" x14ac:dyDescent="0.25">
      <c r="B12" s="47" t="s">
        <v>11</v>
      </c>
      <c r="C12" s="46">
        <v>136</v>
      </c>
      <c r="D12" s="45">
        <v>148</v>
      </c>
      <c r="E12" s="45">
        <v>134</v>
      </c>
      <c r="F12" s="44">
        <v>119</v>
      </c>
      <c r="G12" s="44"/>
      <c r="H12" s="67"/>
    </row>
    <row r="13" spans="2:8" ht="17.25" customHeight="1" thickTop="1" thickBot="1" x14ac:dyDescent="0.3">
      <c r="B13" s="47" t="s">
        <v>12</v>
      </c>
      <c r="C13" s="46">
        <v>132</v>
      </c>
      <c r="D13" s="45">
        <v>144</v>
      </c>
      <c r="E13" s="45">
        <v>129</v>
      </c>
      <c r="F13" s="44">
        <v>130</v>
      </c>
      <c r="G13" s="44"/>
      <c r="H13" s="63"/>
    </row>
    <row r="14" spans="2:8" ht="17.25" customHeight="1" thickTop="1" thickBot="1" x14ac:dyDescent="0.3">
      <c r="B14" s="47" t="s">
        <v>13</v>
      </c>
      <c r="C14" s="46">
        <v>128</v>
      </c>
      <c r="D14" s="45">
        <v>138</v>
      </c>
      <c r="E14" s="45">
        <v>129</v>
      </c>
      <c r="F14" s="44">
        <v>116</v>
      </c>
      <c r="G14" s="44"/>
      <c r="H14" s="67"/>
    </row>
    <row r="15" spans="2:8" ht="17.25" customHeight="1" thickTop="1" thickBot="1" x14ac:dyDescent="0.3">
      <c r="B15" s="47" t="s">
        <v>14</v>
      </c>
      <c r="C15" s="46">
        <v>126</v>
      </c>
      <c r="D15" s="45">
        <v>136</v>
      </c>
      <c r="E15" s="45">
        <v>135</v>
      </c>
      <c r="F15" s="44">
        <v>143</v>
      </c>
      <c r="G15" s="44"/>
      <c r="H15" s="63"/>
    </row>
    <row r="16" spans="2:8" ht="15.75" customHeight="1" x14ac:dyDescent="0.25">
      <c r="B16" s="47" t="s">
        <v>15</v>
      </c>
      <c r="C16" s="46">
        <v>126</v>
      </c>
      <c r="D16" s="45">
        <v>155</v>
      </c>
      <c r="E16" s="45">
        <v>137</v>
      </c>
      <c r="F16" s="44">
        <v>140</v>
      </c>
      <c r="G16" s="44"/>
      <c r="H16" s="48"/>
    </row>
    <row r="17" spans="2:8" ht="15.75" customHeight="1" x14ac:dyDescent="0.25">
      <c r="B17" s="49" t="s">
        <v>49</v>
      </c>
      <c r="C17" s="50">
        <f>SUM(C5:C16)</f>
        <v>1701</v>
      </c>
      <c r="D17" s="50">
        <f>SUM(D5:D16)</f>
        <v>1551</v>
      </c>
      <c r="E17" s="50">
        <f>SUM(E5:E16)</f>
        <v>1642</v>
      </c>
      <c r="F17" s="50">
        <f>SUM(F5:F16)</f>
        <v>1651</v>
      </c>
      <c r="G17" s="50">
        <f>SUM(G5:G16)</f>
        <v>266</v>
      </c>
      <c r="H17" s="51"/>
    </row>
    <row r="18" spans="2:8" ht="6.75" customHeight="1" x14ac:dyDescent="0.2"/>
    <row r="19" spans="2:8" x14ac:dyDescent="0.2">
      <c r="B19" s="156" t="s">
        <v>50</v>
      </c>
      <c r="C19" s="157"/>
      <c r="D19" s="157"/>
      <c r="E19" s="157"/>
      <c r="F19" s="157"/>
      <c r="G19" s="157"/>
      <c r="H19" s="158"/>
    </row>
    <row r="20" spans="2:8" ht="12.75" customHeight="1" x14ac:dyDescent="0.2">
      <c r="B20" s="34" t="s">
        <v>51</v>
      </c>
      <c r="C20" s="35"/>
      <c r="D20" s="35"/>
      <c r="E20" s="35"/>
      <c r="F20" s="35"/>
      <c r="G20" s="35"/>
      <c r="H20" s="36"/>
    </row>
  </sheetData>
  <mergeCells count="2">
    <mergeCell ref="B19:H19"/>
    <mergeCell ref="B2:H2"/>
  </mergeCells>
  <pageMargins left="0.35416666666666702" right="0.196527777777778" top="1.0631944444444399" bottom="1.0631944444444399" header="0.78749999999999998" footer="0.78749999999999998"/>
  <pageSetup paperSize="9" orientation="landscape" horizontalDpi="300" verticalDpi="300"/>
  <headerFooter>
    <oddHeader>&amp;C&amp;"Times New Roman,Normal"&amp;12 &amp;A</oddHeader>
    <oddFooter>&amp;C&amp;"Times New Roman,Normal"&amp;12 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21"/>
  <sheetViews>
    <sheetView zoomScale="115" zoomScaleNormal="115" workbookViewId="0">
      <selection activeCell="I30" sqref="I30"/>
    </sheetView>
  </sheetViews>
  <sheetFormatPr defaultColWidth="8.7109375" defaultRowHeight="12.75" x14ac:dyDescent="0.2"/>
  <cols>
    <col min="2" max="2" width="13.42578125" customWidth="1"/>
    <col min="3" max="3" width="10.140625" customWidth="1"/>
    <col min="4" max="4" width="6.85546875" customWidth="1"/>
    <col min="5" max="5" width="8.7109375" customWidth="1"/>
    <col min="6" max="6" width="10.85546875" customWidth="1"/>
    <col min="7" max="7" width="6.140625" customWidth="1"/>
    <col min="8" max="8" width="8" customWidth="1"/>
    <col min="9" max="9" width="10" customWidth="1"/>
    <col min="10" max="10" width="6.85546875" customWidth="1"/>
    <col min="11" max="11" width="8.140625" customWidth="1"/>
  </cols>
  <sheetData>
    <row r="1" spans="2:11" ht="13.5" customHeight="1" thickBot="1" x14ac:dyDescent="0.25"/>
    <row r="2" spans="2:11" ht="26.25" customHeight="1" thickTop="1" thickBot="1" x14ac:dyDescent="0.25">
      <c r="B2" s="160" t="s">
        <v>52</v>
      </c>
      <c r="C2" s="105"/>
      <c r="D2" s="105"/>
      <c r="E2" s="105"/>
      <c r="F2" s="105"/>
      <c r="G2" s="105"/>
      <c r="H2" s="105"/>
      <c r="I2" s="105"/>
      <c r="J2" s="105"/>
      <c r="K2" s="106"/>
    </row>
    <row r="3" spans="2:11" ht="6.75" customHeight="1" thickTop="1" thickBot="1" x14ac:dyDescent="0.4"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2:11" ht="15.75" customHeight="1" thickTop="1" thickBot="1" x14ac:dyDescent="0.25">
      <c r="B4" s="166" t="s">
        <v>53</v>
      </c>
      <c r="C4" s="108"/>
      <c r="D4" s="108"/>
      <c r="E4" s="108"/>
      <c r="F4" s="108"/>
      <c r="G4" s="108"/>
      <c r="H4" s="108"/>
      <c r="I4" s="108"/>
      <c r="J4" s="108"/>
      <c r="K4" s="109"/>
    </row>
    <row r="5" spans="2:11" ht="15" customHeight="1" thickTop="1" thickBot="1" x14ac:dyDescent="0.25">
      <c r="B5" s="161" t="s">
        <v>2</v>
      </c>
      <c r="C5" s="164">
        <v>2024</v>
      </c>
      <c r="D5" s="108"/>
      <c r="E5" s="165"/>
      <c r="F5" s="162">
        <v>2025</v>
      </c>
      <c r="G5" s="105"/>
      <c r="H5" s="163"/>
      <c r="I5" s="162">
        <v>2026</v>
      </c>
      <c r="J5" s="105"/>
      <c r="K5" s="163"/>
    </row>
    <row r="6" spans="2:11" ht="14.25" customHeight="1" thickTop="1" thickBot="1" x14ac:dyDescent="0.25">
      <c r="B6" s="112"/>
      <c r="C6" s="91" t="s">
        <v>54</v>
      </c>
      <c r="D6" s="91" t="s">
        <v>55</v>
      </c>
      <c r="E6" s="91" t="s">
        <v>56</v>
      </c>
      <c r="F6" s="91" t="s">
        <v>54</v>
      </c>
      <c r="G6" s="91" t="s">
        <v>55</v>
      </c>
      <c r="H6" s="91" t="s">
        <v>56</v>
      </c>
      <c r="I6" s="91" t="s">
        <v>54</v>
      </c>
      <c r="J6" s="91" t="s">
        <v>55</v>
      </c>
      <c r="K6" s="91" t="s">
        <v>56</v>
      </c>
    </row>
    <row r="7" spans="2:11" ht="16.5" customHeight="1" thickTop="1" thickBot="1" x14ac:dyDescent="0.3">
      <c r="B7" s="6" t="s">
        <v>4</v>
      </c>
      <c r="C7" s="59">
        <v>1189</v>
      </c>
      <c r="D7" s="60">
        <v>495</v>
      </c>
      <c r="E7" s="62">
        <f t="shared" ref="E7:E19" si="0">SUM(C7:D7)</f>
        <v>1684</v>
      </c>
      <c r="F7" s="59">
        <v>1341</v>
      </c>
      <c r="G7" s="60">
        <v>708</v>
      </c>
      <c r="H7" s="62">
        <f t="shared" ref="H7:H18" si="1">F7+G7</f>
        <v>2049</v>
      </c>
      <c r="I7" s="59">
        <v>1341</v>
      </c>
      <c r="J7" s="60">
        <v>708</v>
      </c>
      <c r="K7" s="62">
        <f>I7+J7</f>
        <v>2049</v>
      </c>
    </row>
    <row r="8" spans="2:11" ht="16.5" customHeight="1" thickTop="1" thickBot="1" x14ac:dyDescent="0.3">
      <c r="B8" s="6" t="s">
        <v>5</v>
      </c>
      <c r="C8" s="59">
        <v>1047</v>
      </c>
      <c r="D8" s="42">
        <v>502</v>
      </c>
      <c r="E8" s="62">
        <f t="shared" si="0"/>
        <v>1549</v>
      </c>
      <c r="F8" s="59">
        <v>1255</v>
      </c>
      <c r="G8" s="42">
        <v>615</v>
      </c>
      <c r="H8" s="62">
        <f t="shared" si="1"/>
        <v>1870</v>
      </c>
      <c r="I8" s="59">
        <v>1098</v>
      </c>
      <c r="J8" s="42">
        <v>549</v>
      </c>
      <c r="K8" s="62">
        <f>I8+J8</f>
        <v>1647</v>
      </c>
    </row>
    <row r="9" spans="2:11" ht="16.5" customHeight="1" thickTop="1" thickBot="1" x14ac:dyDescent="0.3">
      <c r="B9" s="6" t="s">
        <v>6</v>
      </c>
      <c r="C9" s="59">
        <v>1237</v>
      </c>
      <c r="D9" s="42">
        <v>755</v>
      </c>
      <c r="E9" s="62">
        <f t="shared" si="0"/>
        <v>1992</v>
      </c>
      <c r="F9" s="59">
        <v>1173</v>
      </c>
      <c r="G9" s="42">
        <v>547</v>
      </c>
      <c r="H9" s="62">
        <f t="shared" si="1"/>
        <v>1720</v>
      </c>
      <c r="I9" s="59"/>
      <c r="J9" s="42"/>
      <c r="K9" s="62"/>
    </row>
    <row r="10" spans="2:11" ht="16.5" customHeight="1" thickTop="1" thickBot="1" x14ac:dyDescent="0.3">
      <c r="B10" s="6" t="s">
        <v>7</v>
      </c>
      <c r="C10" s="59">
        <v>1157</v>
      </c>
      <c r="D10" s="42">
        <v>676</v>
      </c>
      <c r="E10" s="62">
        <f t="shared" si="0"/>
        <v>1833</v>
      </c>
      <c r="F10" s="59">
        <v>1245</v>
      </c>
      <c r="G10" s="42">
        <v>659</v>
      </c>
      <c r="H10" s="62">
        <f t="shared" si="1"/>
        <v>1904</v>
      </c>
      <c r="I10" s="59"/>
      <c r="J10" s="42"/>
      <c r="K10" s="62"/>
    </row>
    <row r="11" spans="2:11" ht="16.5" customHeight="1" thickTop="1" thickBot="1" x14ac:dyDescent="0.3">
      <c r="B11" s="6" t="s">
        <v>8</v>
      </c>
      <c r="C11" s="59">
        <v>1209</v>
      </c>
      <c r="D11" s="42">
        <v>737</v>
      </c>
      <c r="E11" s="62">
        <f t="shared" si="0"/>
        <v>1946</v>
      </c>
      <c r="F11" s="59">
        <v>1268</v>
      </c>
      <c r="G11" s="42">
        <v>613</v>
      </c>
      <c r="H11" s="62">
        <f t="shared" si="1"/>
        <v>1881</v>
      </c>
      <c r="I11" s="59"/>
      <c r="J11" s="42"/>
      <c r="K11" s="62"/>
    </row>
    <row r="12" spans="2:11" ht="16.5" customHeight="1" thickTop="1" thickBot="1" x14ac:dyDescent="0.3">
      <c r="B12" s="6" t="s">
        <v>9</v>
      </c>
      <c r="C12" s="59">
        <v>1278</v>
      </c>
      <c r="D12" s="42">
        <v>598</v>
      </c>
      <c r="E12" s="62">
        <f t="shared" si="0"/>
        <v>1876</v>
      </c>
      <c r="F12" s="59">
        <v>1143</v>
      </c>
      <c r="G12" s="42">
        <v>601</v>
      </c>
      <c r="H12" s="62">
        <f t="shared" si="1"/>
        <v>1744</v>
      </c>
      <c r="I12" s="59"/>
      <c r="J12" s="42"/>
      <c r="K12" s="62"/>
    </row>
    <row r="13" spans="2:11" ht="16.5" customHeight="1" thickTop="1" thickBot="1" x14ac:dyDescent="0.3">
      <c r="B13" s="6" t="s">
        <v>10</v>
      </c>
      <c r="C13" s="59">
        <v>1115</v>
      </c>
      <c r="D13" s="42">
        <v>625</v>
      </c>
      <c r="E13" s="62">
        <f t="shared" si="0"/>
        <v>1740</v>
      </c>
      <c r="F13" s="59">
        <v>1156</v>
      </c>
      <c r="G13" s="42">
        <v>629</v>
      </c>
      <c r="H13" s="62">
        <f t="shared" si="1"/>
        <v>1785</v>
      </c>
      <c r="I13" s="59"/>
      <c r="J13" s="42"/>
      <c r="K13" s="62"/>
    </row>
    <row r="14" spans="2:11" ht="16.5" customHeight="1" thickTop="1" thickBot="1" x14ac:dyDescent="0.3">
      <c r="B14" s="6" t="s">
        <v>11</v>
      </c>
      <c r="C14" s="59">
        <v>1185</v>
      </c>
      <c r="D14" s="42">
        <v>834</v>
      </c>
      <c r="E14" s="62">
        <f t="shared" si="0"/>
        <v>2019</v>
      </c>
      <c r="F14" s="59">
        <v>980</v>
      </c>
      <c r="G14" s="42">
        <v>695</v>
      </c>
      <c r="H14" s="62">
        <f t="shared" si="1"/>
        <v>1675</v>
      </c>
      <c r="I14" s="59"/>
      <c r="J14" s="42"/>
      <c r="K14" s="62"/>
    </row>
    <row r="15" spans="2:11" ht="16.5" customHeight="1" thickTop="1" thickBot="1" x14ac:dyDescent="0.3">
      <c r="B15" s="6" t="s">
        <v>12</v>
      </c>
      <c r="C15" s="59">
        <v>1084</v>
      </c>
      <c r="D15" s="42">
        <v>638</v>
      </c>
      <c r="E15" s="62">
        <f t="shared" si="0"/>
        <v>1722</v>
      </c>
      <c r="F15" s="59">
        <v>875</v>
      </c>
      <c r="G15" s="42">
        <v>715</v>
      </c>
      <c r="H15" s="62">
        <f t="shared" si="1"/>
        <v>1590</v>
      </c>
      <c r="I15" s="59"/>
      <c r="J15" s="42"/>
      <c r="K15" s="62"/>
    </row>
    <row r="16" spans="2:11" ht="16.5" customHeight="1" thickTop="1" thickBot="1" x14ac:dyDescent="0.3">
      <c r="B16" s="6" t="s">
        <v>13</v>
      </c>
      <c r="C16" s="59">
        <v>1252</v>
      </c>
      <c r="D16" s="42">
        <v>620</v>
      </c>
      <c r="E16" s="62">
        <f t="shared" si="0"/>
        <v>1872</v>
      </c>
      <c r="F16" s="59">
        <v>897</v>
      </c>
      <c r="G16" s="42">
        <v>702</v>
      </c>
      <c r="H16" s="62">
        <f t="shared" si="1"/>
        <v>1599</v>
      </c>
      <c r="I16" s="59"/>
      <c r="J16" s="42"/>
      <c r="K16" s="62"/>
    </row>
    <row r="17" spans="2:11" ht="16.5" customHeight="1" thickTop="1" thickBot="1" x14ac:dyDescent="0.3">
      <c r="B17" s="6" t="s">
        <v>14</v>
      </c>
      <c r="C17" s="59">
        <v>1193</v>
      </c>
      <c r="D17" s="42">
        <v>564</v>
      </c>
      <c r="E17" s="62">
        <f t="shared" si="0"/>
        <v>1757</v>
      </c>
      <c r="F17" s="59">
        <v>923</v>
      </c>
      <c r="G17" s="42">
        <v>755</v>
      </c>
      <c r="H17" s="62">
        <f t="shared" si="1"/>
        <v>1678</v>
      </c>
      <c r="I17" s="59"/>
      <c r="J17" s="42"/>
      <c r="K17" s="62"/>
    </row>
    <row r="18" spans="2:11" ht="16.5" customHeight="1" thickTop="1" thickBot="1" x14ac:dyDescent="0.3">
      <c r="B18" s="6" t="s">
        <v>15</v>
      </c>
      <c r="C18" s="59">
        <v>1164</v>
      </c>
      <c r="D18" s="42">
        <v>652</v>
      </c>
      <c r="E18" s="61">
        <f t="shared" si="0"/>
        <v>1816</v>
      </c>
      <c r="F18" s="59">
        <v>1205</v>
      </c>
      <c r="G18" s="42">
        <v>742</v>
      </c>
      <c r="H18" s="62">
        <f t="shared" si="1"/>
        <v>1947</v>
      </c>
      <c r="I18" s="59"/>
      <c r="J18" s="42"/>
      <c r="K18" s="62"/>
    </row>
    <row r="19" spans="2:11" ht="17.25" customHeight="1" thickTop="1" thickBot="1" x14ac:dyDescent="0.25">
      <c r="B19" s="64" t="s">
        <v>16</v>
      </c>
      <c r="C19" s="38">
        <f>SUM(C7:C18)</f>
        <v>14110</v>
      </c>
      <c r="D19" s="86">
        <f>SUM(D7:D18)</f>
        <v>7696</v>
      </c>
      <c r="E19" s="38">
        <f t="shared" si="0"/>
        <v>21806</v>
      </c>
      <c r="F19" s="38">
        <f t="shared" ref="F19:K19" si="2">SUM(F7:F18)</f>
        <v>13461</v>
      </c>
      <c r="G19" s="38">
        <f t="shared" si="2"/>
        <v>7981</v>
      </c>
      <c r="H19" s="38">
        <f t="shared" si="2"/>
        <v>21442</v>
      </c>
      <c r="I19" s="38">
        <f t="shared" si="2"/>
        <v>2439</v>
      </c>
      <c r="J19" s="38">
        <f t="shared" si="2"/>
        <v>1257</v>
      </c>
      <c r="K19" s="38">
        <f t="shared" si="2"/>
        <v>3696</v>
      </c>
    </row>
    <row r="20" spans="2:11" ht="11.25" customHeight="1" thickTop="1" x14ac:dyDescent="0.35">
      <c r="B20" s="39"/>
      <c r="C20" s="39"/>
      <c r="D20" s="39"/>
      <c r="E20" s="39"/>
      <c r="F20" s="40"/>
      <c r="G20" s="40"/>
      <c r="H20" s="40"/>
      <c r="I20" s="40"/>
      <c r="J20" s="40"/>
      <c r="K20" s="41"/>
    </row>
    <row r="21" spans="2:11" ht="15.75" customHeight="1" thickBot="1" x14ac:dyDescent="0.25">
      <c r="B21" s="167" t="s">
        <v>57</v>
      </c>
      <c r="C21" s="122"/>
      <c r="D21" s="122"/>
      <c r="E21" s="122"/>
      <c r="F21" s="122"/>
      <c r="G21" s="122"/>
      <c r="H21" s="122"/>
      <c r="I21" s="122"/>
      <c r="J21" s="122"/>
      <c r="K21" s="123"/>
    </row>
  </sheetData>
  <mergeCells count="7">
    <mergeCell ref="B21:K21"/>
    <mergeCell ref="B2:K2"/>
    <mergeCell ref="B5:B6"/>
    <mergeCell ref="F5:H5"/>
    <mergeCell ref="C5:E5"/>
    <mergeCell ref="B4:K4"/>
    <mergeCell ref="I5:K5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zoomScale="115" zoomScaleNormal="115" workbookViewId="0">
      <selection activeCell="L55" sqref="L55"/>
    </sheetView>
  </sheetViews>
  <sheetFormatPr defaultRowHeight="12.75" x14ac:dyDescent="0.2"/>
  <cols>
    <col min="1" max="3" width="15.5703125" customWidth="1"/>
  </cols>
  <sheetData>
    <row r="1" spans="1:4" ht="37.5" customHeight="1" thickTop="1" thickBot="1" x14ac:dyDescent="0.25">
      <c r="A1" s="170" t="s">
        <v>58</v>
      </c>
      <c r="B1" s="105"/>
      <c r="C1" s="106"/>
    </row>
    <row r="2" spans="1:4" ht="13.5" customHeight="1" thickTop="1" thickBot="1" x14ac:dyDescent="0.4">
      <c r="A2" s="37"/>
      <c r="B2" s="37"/>
      <c r="C2" s="37"/>
    </row>
    <row r="3" spans="1:4" ht="38.25" customHeight="1" thickTop="1" thickBot="1" x14ac:dyDescent="0.25">
      <c r="A3" s="166" t="s">
        <v>59</v>
      </c>
      <c r="B3" s="108"/>
      <c r="C3" s="109"/>
    </row>
    <row r="4" spans="1:4" ht="17.25" customHeight="1" thickTop="1" thickBot="1" x14ac:dyDescent="0.25">
      <c r="A4" s="161" t="s">
        <v>2</v>
      </c>
      <c r="B4" s="168" t="s">
        <v>60</v>
      </c>
      <c r="C4" s="168" t="s">
        <v>61</v>
      </c>
      <c r="D4" s="25"/>
    </row>
    <row r="5" spans="1:4" ht="3" customHeight="1" thickTop="1" thickBot="1" x14ac:dyDescent="0.25">
      <c r="A5" s="112"/>
      <c r="B5" s="169"/>
      <c r="C5" s="169"/>
      <c r="D5" s="25"/>
    </row>
    <row r="6" spans="1:4" ht="17.25" customHeight="1" thickTop="1" thickBot="1" x14ac:dyDescent="0.25">
      <c r="A6" s="87" t="s">
        <v>4</v>
      </c>
      <c r="B6" s="88">
        <v>143</v>
      </c>
      <c r="C6" s="88">
        <v>275</v>
      </c>
    </row>
    <row r="7" spans="1:4" ht="17.25" customHeight="1" thickTop="1" thickBot="1" x14ac:dyDescent="0.25">
      <c r="A7" s="87" t="s">
        <v>5</v>
      </c>
      <c r="B7" s="88">
        <v>348</v>
      </c>
      <c r="C7" s="88">
        <v>326</v>
      </c>
    </row>
    <row r="8" spans="1:4" ht="17.25" customHeight="1" thickTop="1" thickBot="1" x14ac:dyDescent="0.25">
      <c r="A8" s="87" t="s">
        <v>6</v>
      </c>
      <c r="B8" s="88">
        <v>378</v>
      </c>
      <c r="C8" s="88"/>
    </row>
    <row r="9" spans="1:4" ht="17.25" customHeight="1" thickTop="1" thickBot="1" x14ac:dyDescent="0.25">
      <c r="A9" s="87" t="s">
        <v>7</v>
      </c>
      <c r="B9" s="88">
        <v>345</v>
      </c>
      <c r="C9" s="88"/>
    </row>
    <row r="10" spans="1:4" ht="17.25" customHeight="1" thickTop="1" thickBot="1" x14ac:dyDescent="0.25">
      <c r="A10" s="87" t="s">
        <v>8</v>
      </c>
      <c r="B10" s="88">
        <v>358</v>
      </c>
      <c r="C10" s="88"/>
    </row>
    <row r="11" spans="1:4" ht="17.25" customHeight="1" thickTop="1" thickBot="1" x14ac:dyDescent="0.25">
      <c r="A11" s="87" t="s">
        <v>9</v>
      </c>
      <c r="B11" s="88">
        <v>315</v>
      </c>
      <c r="C11" s="88"/>
    </row>
    <row r="12" spans="1:4" ht="17.25" customHeight="1" thickTop="1" thickBot="1" x14ac:dyDescent="0.25">
      <c r="A12" s="87" t="s">
        <v>10</v>
      </c>
      <c r="B12" s="88">
        <v>302</v>
      </c>
      <c r="C12" s="88"/>
    </row>
    <row r="13" spans="1:4" ht="17.25" customHeight="1" thickTop="1" thickBot="1" x14ac:dyDescent="0.25">
      <c r="A13" s="87" t="s">
        <v>11</v>
      </c>
      <c r="B13" s="88">
        <v>354</v>
      </c>
      <c r="C13" s="88"/>
    </row>
    <row r="14" spans="1:4" ht="17.25" customHeight="1" thickTop="1" thickBot="1" x14ac:dyDescent="0.25">
      <c r="A14" s="87" t="s">
        <v>12</v>
      </c>
      <c r="B14" s="88">
        <v>366</v>
      </c>
      <c r="C14" s="88"/>
    </row>
    <row r="15" spans="1:4" ht="17.25" customHeight="1" thickTop="1" thickBot="1" x14ac:dyDescent="0.25">
      <c r="A15" s="87" t="s">
        <v>13</v>
      </c>
      <c r="B15" s="88">
        <v>345</v>
      </c>
      <c r="C15" s="88"/>
    </row>
    <row r="16" spans="1:4" ht="17.25" customHeight="1" thickTop="1" thickBot="1" x14ac:dyDescent="0.25">
      <c r="A16" s="87" t="s">
        <v>14</v>
      </c>
      <c r="B16" s="88">
        <v>327</v>
      </c>
      <c r="C16" s="88"/>
    </row>
    <row r="17" spans="1:3" ht="17.25" customHeight="1" thickTop="1" thickBot="1" x14ac:dyDescent="0.25">
      <c r="A17" s="87" t="s">
        <v>15</v>
      </c>
      <c r="B17" s="88">
        <v>305</v>
      </c>
      <c r="C17" s="88"/>
    </row>
    <row r="18" spans="1:3" ht="17.25" customHeight="1" thickTop="1" thickBot="1" x14ac:dyDescent="0.25">
      <c r="A18" s="89" t="s">
        <v>16</v>
      </c>
      <c r="B18" s="90">
        <f>SUM(B6:B17)</f>
        <v>3886</v>
      </c>
      <c r="C18" s="90">
        <f>SUM(C6:C17)</f>
        <v>601</v>
      </c>
    </row>
    <row r="19" spans="1:3" ht="5.25" customHeight="1" thickTop="1" x14ac:dyDescent="0.35">
      <c r="A19" s="39"/>
      <c r="B19" s="39"/>
      <c r="C19" s="40"/>
    </row>
    <row r="20" spans="1:3" ht="14.25" customHeight="1" thickBot="1" x14ac:dyDescent="0.25">
      <c r="A20" s="167" t="s">
        <v>62</v>
      </c>
      <c r="B20" s="122"/>
      <c r="C20" s="123"/>
    </row>
    <row r="21" spans="1:3" ht="13.5" customHeight="1" thickTop="1" x14ac:dyDescent="0.2"/>
  </sheetData>
  <mergeCells count="6">
    <mergeCell ref="A20:C20"/>
    <mergeCell ref="B4:B5"/>
    <mergeCell ref="A1:C1"/>
    <mergeCell ref="C4:C5"/>
    <mergeCell ref="A4:A5"/>
    <mergeCell ref="A3:C3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"/>
  <sheetViews>
    <sheetView workbookViewId="0">
      <selection activeCell="D5" sqref="D5"/>
    </sheetView>
  </sheetViews>
  <sheetFormatPr defaultRowHeight="12.75" x14ac:dyDescent="0.2"/>
  <cols>
    <col min="1" max="1" width="15" bestFit="1" customWidth="1"/>
    <col min="2" max="2" width="31.85546875" bestFit="1" customWidth="1"/>
    <col min="3" max="3" width="11" bestFit="1" customWidth="1"/>
    <col min="4" max="4" width="26" bestFit="1" customWidth="1"/>
    <col min="5" max="5" width="16" bestFit="1" customWidth="1"/>
    <col min="6" max="6" width="10.140625" bestFit="1" customWidth="1"/>
  </cols>
  <sheetData>
    <row r="1" spans="1:6" x14ac:dyDescent="0.2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</row>
    <row r="2" spans="1:6" x14ac:dyDescent="0.2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</row>
    <row r="3" spans="1:6" x14ac:dyDescent="0.2">
      <c r="A3" t="s">
        <v>91</v>
      </c>
      <c r="B3" t="s">
        <v>92</v>
      </c>
      <c r="C3" t="s">
        <v>87</v>
      </c>
      <c r="D3" t="s">
        <v>93</v>
      </c>
      <c r="E3" t="s">
        <v>94</v>
      </c>
      <c r="F3" t="s">
        <v>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"/>
  <sheetViews>
    <sheetView zoomScale="115" zoomScaleNormal="115" workbookViewId="0">
      <selection activeCell="C4" sqref="C4"/>
    </sheetView>
  </sheetViews>
  <sheetFormatPr defaultRowHeight="12.75" x14ac:dyDescent="0.2"/>
  <cols>
    <col min="1" max="1" width="15.85546875" bestFit="1" customWidth="1"/>
    <col min="2" max="2" width="33.140625" bestFit="1" customWidth="1"/>
  </cols>
  <sheetData>
    <row r="1" spans="1:2" x14ac:dyDescent="0.2">
      <c r="A1" t="s">
        <v>63</v>
      </c>
      <c r="B1" t="s">
        <v>64</v>
      </c>
    </row>
    <row r="2" spans="1:2" x14ac:dyDescent="0.2">
      <c r="A2" t="s">
        <v>65</v>
      </c>
      <c r="B2" t="s">
        <v>66</v>
      </c>
    </row>
    <row r="3" spans="1:2" x14ac:dyDescent="0.2">
      <c r="A3" t="s">
        <v>67</v>
      </c>
      <c r="B3" t="s">
        <v>68</v>
      </c>
    </row>
    <row r="4" spans="1:2" x14ac:dyDescent="0.2">
      <c r="A4" t="s">
        <v>69</v>
      </c>
      <c r="B4" t="s">
        <v>70</v>
      </c>
    </row>
    <row r="5" spans="1:2" x14ac:dyDescent="0.2">
      <c r="A5" t="s">
        <v>71</v>
      </c>
      <c r="B5" t="s">
        <v>72</v>
      </c>
    </row>
    <row r="6" spans="1:2" x14ac:dyDescent="0.2">
      <c r="A6" t="s">
        <v>73</v>
      </c>
      <c r="B6" t="s">
        <v>74</v>
      </c>
    </row>
    <row r="7" spans="1:2" x14ac:dyDescent="0.2">
      <c r="A7" t="s">
        <v>75</v>
      </c>
      <c r="B7" t="s">
        <v>76</v>
      </c>
    </row>
    <row r="8" spans="1:2" x14ac:dyDescent="0.2">
      <c r="A8" t="s">
        <v>77</v>
      </c>
      <c r="B8" t="s">
        <v>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"/>
  <sheetViews>
    <sheetView tabSelected="1" zoomScale="130" zoomScaleNormal="130" workbookViewId="0">
      <selection activeCell="E10" sqref="E10"/>
    </sheetView>
  </sheetViews>
  <sheetFormatPr defaultRowHeight="12.75" x14ac:dyDescent="0.2"/>
  <cols>
    <col min="1" max="1" width="17.85546875" customWidth="1"/>
    <col min="2" max="2" width="47.7109375" bestFit="1" customWidth="1"/>
    <col min="3" max="3" width="10.85546875" bestFit="1" customWidth="1"/>
    <col min="4" max="4" width="11.85546875" bestFit="1" customWidth="1"/>
    <col min="5" max="5" width="12.140625" bestFit="1" customWidth="1"/>
    <col min="6" max="6" width="18.85546875" bestFit="1" customWidth="1"/>
    <col min="7" max="7" width="20" bestFit="1" customWidth="1"/>
    <col min="8" max="8" width="49.28515625" bestFit="1" customWidth="1"/>
  </cols>
  <sheetData>
    <row r="1" spans="1:8" x14ac:dyDescent="0.2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83</v>
      </c>
      <c r="H1" t="s">
        <v>102</v>
      </c>
    </row>
    <row r="2" spans="1:8" x14ac:dyDescent="0.2">
      <c r="A2" t="s">
        <v>103</v>
      </c>
      <c r="B2" t="s">
        <v>104</v>
      </c>
      <c r="C2" t="s">
        <v>105</v>
      </c>
      <c r="D2" t="s">
        <v>106</v>
      </c>
      <c r="E2" s="103">
        <v>142</v>
      </c>
      <c r="F2" t="s">
        <v>107</v>
      </c>
      <c r="G2" t="s">
        <v>76</v>
      </c>
      <c r="H2" t="s">
        <v>108</v>
      </c>
    </row>
    <row r="3" spans="1:8" x14ac:dyDescent="0.2">
      <c r="A3" t="s">
        <v>85</v>
      </c>
      <c r="B3" t="s">
        <v>109</v>
      </c>
      <c r="C3" t="s">
        <v>105</v>
      </c>
      <c r="D3" t="s">
        <v>106</v>
      </c>
      <c r="E3" t="s">
        <v>110</v>
      </c>
      <c r="F3" t="s">
        <v>87</v>
      </c>
      <c r="G3" t="s">
        <v>76</v>
      </c>
      <c r="H3" t="s">
        <v>111</v>
      </c>
    </row>
    <row r="4" spans="1:8" x14ac:dyDescent="0.2">
      <c r="A4" t="s">
        <v>112</v>
      </c>
      <c r="B4" t="s">
        <v>113</v>
      </c>
      <c r="C4" t="s">
        <v>105</v>
      </c>
      <c r="D4" t="s">
        <v>106</v>
      </c>
      <c r="E4" t="s">
        <v>110</v>
      </c>
      <c r="F4" t="s">
        <v>87</v>
      </c>
      <c r="G4" t="s">
        <v>76</v>
      </c>
    </row>
    <row r="5" spans="1:8" x14ac:dyDescent="0.2">
      <c r="A5" t="s">
        <v>114</v>
      </c>
      <c r="B5" t="s">
        <v>115</v>
      </c>
      <c r="C5" t="s">
        <v>105</v>
      </c>
      <c r="D5" t="s">
        <v>106</v>
      </c>
      <c r="E5" t="s">
        <v>110</v>
      </c>
      <c r="F5" t="s">
        <v>107</v>
      </c>
      <c r="G5" t="s">
        <v>76</v>
      </c>
    </row>
    <row r="6" spans="1:8" x14ac:dyDescent="0.2">
      <c r="A6" t="s">
        <v>116</v>
      </c>
      <c r="B6" t="s">
        <v>117</v>
      </c>
      <c r="C6" t="s">
        <v>105</v>
      </c>
      <c r="D6" t="s">
        <v>106</v>
      </c>
      <c r="E6" t="s">
        <v>110</v>
      </c>
      <c r="F6" t="s">
        <v>107</v>
      </c>
      <c r="G6" t="s">
        <v>76</v>
      </c>
    </row>
    <row r="7" spans="1:8" x14ac:dyDescent="0.2">
      <c r="A7" t="s">
        <v>118</v>
      </c>
      <c r="B7" t="s">
        <v>119</v>
      </c>
      <c r="C7" t="s">
        <v>105</v>
      </c>
      <c r="D7" t="s">
        <v>106</v>
      </c>
      <c r="E7" t="s">
        <v>120</v>
      </c>
      <c r="F7" t="s">
        <v>121</v>
      </c>
      <c r="G7" t="s">
        <v>76</v>
      </c>
    </row>
    <row r="8" spans="1:8" x14ac:dyDescent="0.2">
      <c r="A8" t="s">
        <v>122</v>
      </c>
      <c r="B8" t="s">
        <v>123</v>
      </c>
      <c r="C8" t="s">
        <v>105</v>
      </c>
      <c r="D8" t="s">
        <v>106</v>
      </c>
      <c r="E8" t="s">
        <v>110</v>
      </c>
      <c r="F8" t="s">
        <v>87</v>
      </c>
      <c r="G8" t="s">
        <v>76</v>
      </c>
    </row>
    <row r="9" spans="1:8" x14ac:dyDescent="0.2">
      <c r="A9" t="s">
        <v>91</v>
      </c>
      <c r="B9" t="s">
        <v>124</v>
      </c>
      <c r="C9" t="s">
        <v>105</v>
      </c>
      <c r="D9" t="s">
        <v>106</v>
      </c>
      <c r="E9" t="s">
        <v>110</v>
      </c>
      <c r="F9" t="s">
        <v>125</v>
      </c>
      <c r="G9" t="s">
        <v>76</v>
      </c>
      <c r="H9" t="s">
        <v>126</v>
      </c>
    </row>
    <row r="10" spans="1:8" x14ac:dyDescent="0.2">
      <c r="A10" t="s">
        <v>127</v>
      </c>
      <c r="B10" t="s">
        <v>128</v>
      </c>
      <c r="C10" t="s">
        <v>130</v>
      </c>
      <c r="D10" t="s">
        <v>129</v>
      </c>
      <c r="E10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INTERCORRENCIAS SEG</vt:lpstr>
      <vt:lpstr>EVASÃO</vt:lpstr>
      <vt:lpstr>VISITAS</vt:lpstr>
      <vt:lpstr>FAB FAF </vt:lpstr>
      <vt:lpstr>APREENSÕES</vt:lpstr>
      <vt:lpstr>MORGUE</vt:lpstr>
      <vt:lpstr>PATIO</vt:lpstr>
      <vt:lpstr>PATIO NUTRI</vt:lpstr>
      <vt:lpstr>Base_Analise_Critica</vt:lpstr>
      <vt:lpstr>Config</vt:lpstr>
      <vt:lpstr>Base_Indicadores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 Harder</dc:creator>
  <cp:lastModifiedBy>Admin</cp:lastModifiedBy>
  <cp:revision>10</cp:revision>
  <dcterms:created xsi:type="dcterms:W3CDTF">2003-10-10T15:31:11Z</dcterms:created>
  <dcterms:modified xsi:type="dcterms:W3CDTF">2026-04-23T02:52:20Z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_TemplateID">
    <vt:lpwstr>TC011684341046</vt:lpwstr>
  </property>
</Properties>
</file>